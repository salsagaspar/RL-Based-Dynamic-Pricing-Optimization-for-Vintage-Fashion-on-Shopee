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_Master" sheetId="1" r:id="rId5"/>
    <sheet state="visible" name="Pemasok" sheetId="2" r:id="rId6"/>
    <sheet state="visible" name="Pembelian" sheetId="3" r:id="rId7"/>
    <sheet state="visible" name="Pesanan" sheetId="4" r:id="rId8"/>
    <sheet state="visible" name="Retur" sheetId="5" r:id="rId9"/>
    <sheet state="visible" name="Persediaan" sheetId="6" r:id="rId10"/>
  </sheets>
  <definedNames/>
  <calcPr/>
</workbook>
</file>

<file path=xl/sharedStrings.xml><?xml version="1.0" encoding="utf-8"?>
<sst xmlns="http://schemas.openxmlformats.org/spreadsheetml/2006/main" count="880" uniqueCount="368">
  <si>
    <t>SKU</t>
  </si>
  <si>
    <t>Nama_Produk</t>
  </si>
  <si>
    <t>Kategori</t>
  </si>
  <si>
    <t>Gaya_90an</t>
  </si>
  <si>
    <t>Ukuran</t>
  </si>
  <si>
    <t>Kondisi</t>
  </si>
  <si>
    <t>Tipe_Pasokan</t>
  </si>
  <si>
    <t>Supplier_ID</t>
  </si>
  <si>
    <t>Modal_Unit_Rp</t>
  </si>
  <si>
    <t>Harga_Jual_Rp</t>
  </si>
  <si>
    <t>Safety_Stock_Unit</t>
  </si>
  <si>
    <t>Lead_Time_Target_Hari</t>
  </si>
  <si>
    <t>Margin_Kotor_%</t>
  </si>
  <si>
    <t>V90-TEE-001</t>
  </si>
  <si>
    <t>Kaos Graphic Grunge</t>
  </si>
  <si>
    <t>Kaos</t>
  </si>
  <si>
    <t>Grunge / Band Tee</t>
  </si>
  <si>
    <t>M</t>
  </si>
  <si>
    <t>Vintage Grade A</t>
  </si>
  <si>
    <t>Restockable</t>
  </si>
  <si>
    <t>SUP-002</t>
  </si>
  <si>
    <t>V90-TEE-002</t>
  </si>
  <si>
    <t>Kaos Washed Boxy</t>
  </si>
  <si>
    <t>Washed / Boxy Fit</t>
  </si>
  <si>
    <t>L</t>
  </si>
  <si>
    <t>New - 90s Style</t>
  </si>
  <si>
    <t>V90-TEE-003</t>
  </si>
  <si>
    <t>Raglan Baseball Tee</t>
  </si>
  <si>
    <t>Baseball / Raglan</t>
  </si>
  <si>
    <t>SUP-001</t>
  </si>
  <si>
    <t>V90-FLN-001</t>
  </si>
  <si>
    <t>Kemeja Flanel Kotak</t>
  </si>
  <si>
    <t>Kemeja</t>
  </si>
  <si>
    <t>Grunge Layering</t>
  </si>
  <si>
    <t>Preloved Grade A</t>
  </si>
  <si>
    <t>SUP-004</t>
  </si>
  <si>
    <t>V90-DNM-001</t>
  </si>
  <si>
    <t>Jaket Denim Oversize</t>
  </si>
  <si>
    <t>Jaket</t>
  </si>
  <si>
    <t>Denim / Oversize</t>
  </si>
  <si>
    <t>XL</t>
  </si>
  <si>
    <t>One-off Vintage</t>
  </si>
  <si>
    <t>SUP-003</t>
  </si>
  <si>
    <t>V90-WND-001</t>
  </si>
  <si>
    <t>Windbreaker Colorblock</t>
  </si>
  <si>
    <t>Sporty Colorblock</t>
  </si>
  <si>
    <t>Vintage Grade B</t>
  </si>
  <si>
    <t>SUP-005</t>
  </si>
  <si>
    <t>V90-SWT-001</t>
  </si>
  <si>
    <t>Crewneck Colorblock</t>
  </si>
  <si>
    <t>Sweater</t>
  </si>
  <si>
    <t>Colorblock</t>
  </si>
  <si>
    <t>SUP-006</t>
  </si>
  <si>
    <t>V90-SWT-002</t>
  </si>
  <si>
    <t>Sweater Stripe Retro</t>
  </si>
  <si>
    <t>Stripe / Retro</t>
  </si>
  <si>
    <t>V90-JNS-001</t>
  </si>
  <si>
    <t>Jeans Straight Denim</t>
  </si>
  <si>
    <t>Celana</t>
  </si>
  <si>
    <t>Straight / Denim</t>
  </si>
  <si>
    <t>32</t>
  </si>
  <si>
    <t>V90-CGO-001</t>
  </si>
  <si>
    <t>Celana Cargo 90s</t>
  </si>
  <si>
    <t>Cargo / Utility</t>
  </si>
  <si>
    <t>V90-VST-001</t>
  </si>
  <si>
    <t>Vest Knit Retro</t>
  </si>
  <si>
    <t>Outerwear</t>
  </si>
  <si>
    <t>Knit / Layering</t>
  </si>
  <si>
    <t>V90-HDY-001</t>
  </si>
  <si>
    <t>Hoodie Zip Vintage</t>
  </si>
  <si>
    <t>Hoodie</t>
  </si>
  <si>
    <t>Zip / Minimal</t>
  </si>
  <si>
    <t>V90-CDG-001</t>
  </si>
  <si>
    <t>Cardigan Knit Retro</t>
  </si>
  <si>
    <t>Knit / Grandpa Core</t>
  </si>
  <si>
    <t>Preloved Grade B</t>
  </si>
  <si>
    <t>V90-SRT-001</t>
  </si>
  <si>
    <t>Shorts Denim</t>
  </si>
  <si>
    <t>Denim / Cut-off</t>
  </si>
  <si>
    <t>30</t>
  </si>
  <si>
    <t>V90-TRK-001</t>
  </si>
  <si>
    <t>Track Jacket Retro</t>
  </si>
  <si>
    <t>Athletic / Colorblock</t>
  </si>
  <si>
    <t>Nama_Pemasok</t>
  </si>
  <si>
    <t>Jenis_Sumber</t>
  </si>
  <si>
    <t>Kota</t>
  </si>
  <si>
    <t>MOQ_Unit</t>
  </si>
  <si>
    <t>Tingkat_Cacat_Historis_%</t>
  </si>
  <si>
    <t>Rating_Internal_5</t>
  </si>
  <si>
    <t>Garasi Vintage Supply</t>
  </si>
  <si>
    <t>Thrift bundle &amp; curated</t>
  </si>
  <si>
    <t>Bandung</t>
  </si>
  <si>
    <t>Studio Washed Apparel</t>
  </si>
  <si>
    <t>Produksi ulang gaya 90-an</t>
  </si>
  <si>
    <t>Tangerang</t>
  </si>
  <si>
    <t>Denim Rewear Hub</t>
  </si>
  <si>
    <t>Denim preloved</t>
  </si>
  <si>
    <t>Jakarta</t>
  </si>
  <si>
    <t>Flanel Archive</t>
  </si>
  <si>
    <t>Kemeja preloved</t>
  </si>
  <si>
    <t>Retro Outerwear Select</t>
  </si>
  <si>
    <t>Outerwear vintage</t>
  </si>
  <si>
    <t>Depok</t>
  </si>
  <si>
    <t>Knit Revival</t>
  </si>
  <si>
    <t>Knitwear &amp; vest</t>
  </si>
  <si>
    <t>Solo</t>
  </si>
  <si>
    <t>PO_ID</t>
  </si>
  <si>
    <t>Tanggal_PO</t>
  </si>
  <si>
    <t>Tanggal_Terima</t>
  </si>
  <si>
    <t>Qty_Dipesan</t>
  </si>
  <si>
    <t>Qty_Diterima</t>
  </si>
  <si>
    <t>Lead_Time_Aktual_Hari</t>
  </si>
  <si>
    <t>Qty_Rusak</t>
  </si>
  <si>
    <t>Total_Pembelian_Rp</t>
  </si>
  <si>
    <t>PO-0001</t>
  </si>
  <si>
    <t>PO-0002</t>
  </si>
  <si>
    <t>PO-0003</t>
  </si>
  <si>
    <t>PO-0004</t>
  </si>
  <si>
    <t>PO-0005</t>
  </si>
  <si>
    <t>PO-0006</t>
  </si>
  <si>
    <t>PO-0007</t>
  </si>
  <si>
    <t>PO-0008</t>
  </si>
  <si>
    <t>PO-0009</t>
  </si>
  <si>
    <t>PO-0010</t>
  </si>
  <si>
    <t>PO-0011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</si>
  <si>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</si>
  <si>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</si>
  <si>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</si>
  <si>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</si>
  <si>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</si>
  <si>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</si>
  <si>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</si>
  <si>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</si>
  <si>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</si>
  <si>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</si>
  <si>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</si>
  <si>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</si>
  <si>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</si>
  <si>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</si>
  <si>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</si>
  <si>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Item_Order_ID</t>
  </si>
  <si>
    <t>Order_ID</t>
  </si>
  <si>
    <t>Tanggal_Order</t>
  </si>
  <si>
    <t>Qty</t>
  </si>
  <si>
    <t>Harga_Jual_Unit_Rp</t>
  </si>
  <si>
    <t>Diskon_Rp</t>
  </si>
  <si>
    <t>Estimasi_Fee_Platform_Rp</t>
  </si>
  <si>
    <t>Status_Order</t>
  </si>
  <si>
    <t>Provinsi_Pembeli</t>
  </si>
  <si>
    <t>Kurir</t>
  </si>
  <si>
    <t>Tanggal_Dikirim</t>
  </si>
  <si>
    <t>Tanggal_Diterima</t>
  </si>
  <si>
    <t>Hari_Order_ke_Kirim</t>
  </si>
  <si>
    <t>Omzet_Kotor_Rp</t>
  </si>
  <si>
    <t>Omzet_Neto_Estimasi_Rp</t>
  </si>
  <si>
    <t>HPP_Estimasi_Rp</t>
  </si>
  <si>
    <t>Margin_Estimasi_Rp</t>
  </si>
  <si>
    <t>OI-0001</t>
  </si>
  <si>
    <t>SPX-2026501</t>
  </si>
  <si>
    <t>Terkirim</t>
  </si>
  <si>
    <t>Jawa Timur</t>
  </si>
  <si>
    <t>JNE</t>
  </si>
  <si>
    <t>OI-0002</t>
  </si>
  <si>
    <t>SPX-2026789</t>
  </si>
  <si>
    <t>Sumatera Utara</t>
  </si>
  <si>
    <t>OI-0003</t>
  </si>
  <si>
    <t>SPX-2026678</t>
  </si>
  <si>
    <t>Dibatalkan</t>
  </si>
  <si>
    <t>SiCepat</t>
  </si>
  <si>
    <t>OI-0004</t>
  </si>
  <si>
    <t>SPX-2026446</t>
  </si>
  <si>
    <t>Jawa Tengah</t>
  </si>
  <si>
    <t>OI-0005</t>
  </si>
  <si>
    <t>SPX-2026618</t>
  </si>
  <si>
    <t>Bali</t>
  </si>
  <si>
    <t>OI-0006</t>
  </si>
  <si>
    <t>SPX-2026570</t>
  </si>
  <si>
    <t>SPX Express</t>
  </si>
  <si>
    <t>OI-0007</t>
  </si>
  <si>
    <t>SPX-2026413</t>
  </si>
  <si>
    <t>Banten</t>
  </si>
  <si>
    <t>OI-0008</t>
  </si>
  <si>
    <t>SPX-2026183</t>
  </si>
  <si>
    <t>OI-0009</t>
  </si>
  <si>
    <t>SPX-2026125</t>
  </si>
  <si>
    <t>DKI Jakarta</t>
  </si>
  <si>
    <t>OI-0010</t>
  </si>
  <si>
    <t>SPX-2026322</t>
  </si>
  <si>
    <t>OI-0011</t>
  </si>
  <si>
    <t>SPX-2026560</t>
  </si>
  <si>
    <t>J&amp;T</t>
  </si>
  <si>
    <t>OI-0012</t>
  </si>
  <si>
    <t>SPX-2026169</t>
  </si>
  <si>
    <t>Retur</t>
  </si>
  <si>
    <t>OI-0013</t>
  </si>
  <si>
    <t>SPX-2026482</t>
  </si>
  <si>
    <t>OI-0014</t>
  </si>
  <si>
    <t>SPX-2026664</t>
  </si>
  <si>
    <t>DI Yogyakarta</t>
  </si>
  <si>
    <t>AnterAja</t>
  </si>
  <si>
    <t>OI-0015</t>
  </si>
  <si>
    <t>SPX-2026875</t>
  </si>
  <si>
    <t>OI-0016</t>
  </si>
  <si>
    <t>SPX-2026741</t>
  </si>
  <si>
    <t>OI-0017</t>
  </si>
  <si>
    <t>SPX-2026444</t>
  </si>
  <si>
    <t>OI-0018</t>
  </si>
  <si>
    <t>SPX-2026325</t>
  </si>
  <si>
    <t>OI-0019</t>
  </si>
  <si>
    <t>SPX-2026601</t>
  </si>
  <si>
    <t>OI-0020</t>
  </si>
  <si>
    <t>SPX-2026289</t>
  </si>
  <si>
    <t>OI-0021</t>
  </si>
  <si>
    <t>SPX-2026003</t>
  </si>
  <si>
    <t>OI-0022</t>
  </si>
  <si>
    <t>SPX-2026216</t>
  </si>
  <si>
    <t>OI-0023</t>
  </si>
  <si>
    <t>SPX-2026552</t>
  </si>
  <si>
    <t>OI-0024</t>
  </si>
  <si>
    <t>SPX-2026052</t>
  </si>
  <si>
    <t>Jawa Barat</t>
  </si>
  <si>
    <t>OI-0025</t>
  </si>
  <si>
    <t>SPX-2026720</t>
  </si>
  <si>
    <t>OI-0026</t>
  </si>
  <si>
    <t>SPX-2026285</t>
  </si>
  <si>
    <t>OI-0027</t>
  </si>
  <si>
    <t>SPX-2026452</t>
  </si>
  <si>
    <t>OI-0028</t>
  </si>
  <si>
    <t>SPX-2026960</t>
  </si>
  <si>
    <t>OI-0029</t>
  </si>
  <si>
    <t>SPX-2026558</t>
  </si>
  <si>
    <t>Diproses</t>
  </si>
  <si>
    <t>OI-0030</t>
  </si>
  <si>
    <t>SPX-2026572</t>
  </si>
  <si>
    <t>OI-0031</t>
  </si>
  <si>
    <t>SPX-2026035</t>
  </si>
  <si>
    <t>OI-0032</t>
  </si>
  <si>
    <t>SPX-2026264</t>
  </si>
  <si>
    <t>OI-0033</t>
  </si>
  <si>
    <t>SPX-2026866</t>
  </si>
  <si>
    <t>OI-0034</t>
  </si>
  <si>
    <t>SPX-2026752</t>
  </si>
  <si>
    <t>OI-0035</t>
  </si>
  <si>
    <t>SPX-2026351</t>
  </si>
  <si>
    <t>OI-0036</t>
  </si>
  <si>
    <t>SPX-2026635</t>
  </si>
  <si>
    <t>OI-0037</t>
  </si>
  <si>
    <t>SPX-2026679</t>
  </si>
  <si>
    <t>OI-0038</t>
  </si>
  <si>
    <t>SPX-2026292</t>
  </si>
  <si>
    <t>OI-0039</t>
  </si>
  <si>
    <t>SPX-2026299</t>
  </si>
  <si>
    <t>OI-0040</t>
  </si>
  <si>
    <t>SPX-2026527</t>
  </si>
  <si>
    <t>OI-0041</t>
  </si>
  <si>
    <t>SPX-2026081</t>
  </si>
  <si>
    <t>OI-0042</t>
  </si>
  <si>
    <t>SPX-2026467</t>
  </si>
  <si>
    <t>OI-0043</t>
  </si>
  <si>
    <t>SPX-2026837</t>
  </si>
  <si>
    <t>OI-0044</t>
  </si>
  <si>
    <t>SPX-2026187</t>
  </si>
  <si>
    <t>OI-0045</t>
  </si>
  <si>
    <t>SPX-2026901</t>
  </si>
  <si>
    <t>OI-0046</t>
  </si>
  <si>
    <t>SPX-2026171</t>
  </si>
  <si>
    <t>OI-0047</t>
  </si>
  <si>
    <t>SPX-2026489</t>
  </si>
  <si>
    <t>OI-0048</t>
  </si>
  <si>
    <t>SPX-2026930</t>
  </si>
  <si>
    <t>OI-0049</t>
  </si>
  <si>
    <t>SPX-2026152</t>
  </si>
  <si>
    <t>OI-0050</t>
  </si>
  <si>
    <t>SPX-2026464</t>
  </si>
  <si>
    <t>OI-0051</t>
  </si>
  <si>
    <t>SPX-2026686</t>
  </si>
  <si>
    <t>OI-0052</t>
  </si>
  <si>
    <t>SPX-2026228</t>
  </si>
  <si>
    <t>OI-0053</t>
  </si>
  <si>
    <t>SPX-2026525</t>
  </si>
  <si>
    <t>OI-0054</t>
  </si>
  <si>
    <t>SPX-2026453</t>
  </si>
  <si>
    <t>OI-0055</t>
  </si>
  <si>
    <t>SPX-2026373</t>
  </si>
  <si>
    <t>OI-0056</t>
  </si>
  <si>
    <t>OI-0057</t>
  </si>
  <si>
    <t>SPX-2026106</t>
  </si>
  <si>
    <t>OI-0058</t>
  </si>
  <si>
    <t>SPX-2026010</t>
  </si>
  <si>
    <t>OI-0059</t>
  </si>
  <si>
    <t>SPX-2026409</t>
  </si>
  <si>
    <t>OI-0060</t>
  </si>
  <si>
    <t>SPX-2026032</t>
  </si>
  <si>
    <t>OI-0061</t>
  </si>
  <si>
    <t>SPX-2026895</t>
  </si>
  <si>
    <t>OI-0062</t>
  </si>
  <si>
    <t>OI-0063</t>
  </si>
  <si>
    <t>SPX-2026649</t>
  </si>
  <si>
    <t>OI-0064</t>
  </si>
  <si>
    <t>SPX-2026066</t>
  </si>
  <si>
    <t>OI-0065</t>
  </si>
  <si>
    <t>SPX-2026692</t>
  </si>
  <si>
    <t>OI-0066</t>
  </si>
  <si>
    <t>SPX-2026402</t>
  </si>
  <si>
    <t>OI-0067</t>
  </si>
  <si>
    <t>SPX-2026226</t>
  </si>
  <si>
    <t>OI-0068</t>
  </si>
  <si>
    <t>SPX-2026684</t>
  </si>
  <si>
    <t>OI-0069</t>
  </si>
  <si>
    <t>OI-0070</t>
  </si>
  <si>
    <t>SPX-2026727</t>
  </si>
  <si>
    <t>OI-0071</t>
  </si>
  <si>
    <t>SPX-2026129</t>
  </si>
  <si>
    <t>OI-0072</t>
  </si>
  <si>
    <t>SPX-2026217</t>
  </si>
  <si>
    <t>OI-0073</t>
  </si>
  <si>
    <t>OI-0074</t>
  </si>
  <si>
    <t>SPX-2026036</t>
  </si>
  <si>
    <t>OI-0075</t>
  </si>
  <si>
    <t>SPX-2026946</t>
  </si>
  <si>
    <t>OI-0076</t>
  </si>
  <si>
    <t>SPX-2026699</t>
  </si>
  <si>
    <t>OI-0077</t>
  </si>
  <si>
    <t>SPX-2026115</t>
  </si>
  <si>
    <t>OI-0078</t>
  </si>
  <si>
    <t>SPX-2026020</t>
  </si>
  <si>
    <t>OI-0079</t>
  </si>
  <si>
    <t>SPX-2026362</t>
  </si>
  <si>
    <t>OI-0080</t>
  </si>
  <si>
    <t>SPX-2026495</t>
  </si>
  <si>
    <t>OI-0081</t>
  </si>
  <si>
    <t>SPX-2026521</t>
  </si>
  <si>
    <t>OI-0082</t>
  </si>
  <si>
    <t>SPX-2026290</t>
  </si>
  <si>
    <t>OI-0083</t>
  </si>
  <si>
    <t>SPX-2026921</t>
  </si>
  <si>
    <t>OI-0084</t>
  </si>
  <si>
    <t>SPX-2026873</t>
  </si>
  <si>
    <t>OI-0085</t>
  </si>
  <si>
    <t>SPX-2026687</t>
  </si>
  <si>
    <t>OI-0086</t>
  </si>
  <si>
    <t>SPX-2026802</t>
  </si>
  <si>
    <t>Return_ID</t>
  </si>
  <si>
    <t>Qty_Retur</t>
  </si>
  <si>
    <t>Alasan_Retur</t>
  </si>
  <si>
    <t>Hasil_QC</t>
  </si>
  <si>
    <t>Nilai_Refund_Rp</t>
  </si>
  <si>
    <t>Tanggal_Retur</t>
  </si>
  <si>
    <t>RT-001</t>
  </si>
  <si>
    <t>Warna berbeda dari ekspektasi</t>
  </si>
  <si>
    <t>Layak jual</t>
  </si>
  <si>
    <t>RT-002</t>
  </si>
  <si>
    <t>Ada noda setelah QC</t>
  </si>
  <si>
    <t>Tidak layak jual</t>
  </si>
  <si>
    <t>RT-003</t>
  </si>
  <si>
    <t>Salah pilih produk</t>
  </si>
  <si>
    <t>RT-004</t>
  </si>
  <si>
    <t>Kondisi tidak sesuai deskripsi</t>
  </si>
  <si>
    <t>RT-005</t>
  </si>
  <si>
    <t>Stok_Awal_01Sep</t>
  </si>
  <si>
    <t>Qty_Masuk_Period</t>
  </si>
  <si>
    <t>Qty_Terjual_Terkirim</t>
  </si>
  <si>
    <t>Qty_Retur_Layak_Jual</t>
  </si>
  <si>
    <t>Penyesuaian_Unit</t>
  </si>
  <si>
    <t>Stok_Akhir</t>
  </si>
  <si>
    <t>Demand_Rata2_30d_Unit_per_Hari</t>
  </si>
  <si>
    <t>Reorder_Point_Unit</t>
  </si>
  <si>
    <t>Status_Stok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</si>
</sst>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p&quot; #,##0"/>
    <numFmt numFmtId="165" formatCode="0.0%"/>
    <numFmt numFmtId="166" formatCode="dd-mmm-yyyy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3395B"/>
        <bgColor rgb="FF23395B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3" numFmtId="165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shrinkToFit="0" vertical="center" wrapText="1"/>
    </xf>
    <xf borderId="0" fillId="0" fontId="3" numFmtId="2" xfId="0" applyAlignment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6">
    <tableStyle count="4" pivot="0" name="Produk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aso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beli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an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u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sedia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6" displayName="ProductMasterTable" name="ProductMasterTable" id="1">
  <tableColumns count="13">
    <tableColumn name="SKU" id="1"/>
    <tableColumn name="Nama_Produk" id="2"/>
    <tableColumn name="Kategori" id="3"/>
    <tableColumn name="Gaya_90an" id="4"/>
    <tableColumn name="Ukuran" id="5"/>
    <tableColumn name="Kondisi" id="6"/>
    <tableColumn name="Tipe_Pasokan" id="7"/>
    <tableColumn name="Supplier_ID" id="8"/>
    <tableColumn name="Modal_Unit_Rp" id="9"/>
    <tableColumn name="Harga_Jual_Rp" id="10"/>
    <tableColumn name="Safety_Stock_Unit" id="11"/>
    <tableColumn name="Lead_Time_Target_Hari" id="12"/>
    <tableColumn name="Margin_Kotor_%" id="13"/>
  </tableColumns>
  <tableStyleInfo name="Produk_Master-style" showColumnStripes="0" showFirstColumn="1" showLastColumn="1" showRowStripes="1"/>
</table>
</file>

<file path=xl/tables/table2.xml><?xml version="1.0" encoding="utf-8"?>
<table xmlns="http://schemas.openxmlformats.org/spreadsheetml/2006/main" ref="A1:H7" displayName="SupplierTable" name="SupplierTable" id="2">
  <tableColumns count="8">
    <tableColumn name="Supplier_ID" id="1"/>
    <tableColumn name="Nama_Pemasok" id="2"/>
    <tableColumn name="Jenis_Sumber" id="3"/>
    <tableColumn name="Kota" id="4"/>
    <tableColumn name="Lead_Time_Target_Hari" id="5"/>
    <tableColumn name="MOQ_Unit" id="6"/>
    <tableColumn name="Tingkat_Cacat_Historis_%" id="7"/>
    <tableColumn name="Rating_Internal_5" id="8"/>
  </tableColumns>
  <tableStyleInfo name="Pemasok-style" showColumnStripes="0" showFirstColumn="1" showLastColumn="1" showRowStripes="1"/>
</table>
</file>

<file path=xl/tables/table3.xml><?xml version="1.0" encoding="utf-8"?>
<table xmlns="http://schemas.openxmlformats.org/spreadsheetml/2006/main" ref="A1:K27" displayName="PurchaseTable" name="PurchaseTable" id="3">
  <tableColumns count="11">
    <tableColumn name="PO_ID" id="1"/>
    <tableColumn name="Tanggal_PO" id="2"/>
    <tableColumn name="Tanggal_Terima" id="3"/>
    <tableColumn name="Supplier_ID" id="4"/>
    <tableColumn name="SKU" id="5"/>
    <tableColumn name="Qty_Dipesan" id="6"/>
    <tableColumn name="Qty_Diterima" id="7"/>
    <tableColumn name="Modal_Unit_Rp" id="8"/>
    <tableColumn name="Lead_Time_Aktual_Hari" id="9"/>
    <tableColumn name="Qty_Rusak" id="10"/>
    <tableColumn name="Total_Pembelian_Rp" id="11"/>
  </tableColumns>
  <tableStyleInfo name="Pembelian-style" showColumnStripes="0" showFirstColumn="1" showLastColumn="1" showRowStripes="1"/>
</table>
</file>

<file path=xl/tables/table4.xml><?xml version="1.0" encoding="utf-8"?>
<table xmlns="http://schemas.openxmlformats.org/spreadsheetml/2006/main" ref="A1:R87" displayName="OrdersTable" name="OrdersTable" id="4">
  <tableColumns count="18">
    <tableColumn name="Item_Order_ID" id="1"/>
    <tableColumn name="Order_ID" id="2"/>
    <tableColumn name="Tanggal_Order" id="3"/>
    <tableColumn name="SKU" id="4"/>
    <tableColumn name="Qty" id="5"/>
    <tableColumn name="Harga_Jual_Unit_Rp" id="6"/>
    <tableColumn name="Diskon_Rp" id="7"/>
    <tableColumn name="Estimasi_Fee_Platform_Rp" id="8"/>
    <tableColumn name="Status_Order" id="9"/>
    <tableColumn name="Provinsi_Pembeli" id="10"/>
    <tableColumn name="Kurir" id="11"/>
    <tableColumn name="Tanggal_Dikirim" id="12"/>
    <tableColumn name="Tanggal_Diterima" id="13"/>
    <tableColumn name="Hari_Order_ke_Kirim" id="14"/>
    <tableColumn name="Omzet_Kotor_Rp" id="15"/>
    <tableColumn name="Omzet_Neto_Estimasi_Rp" id="16"/>
    <tableColumn name="HPP_Estimasi_Rp" id="17"/>
    <tableColumn name="Margin_Estimasi_Rp" id="18"/>
  </tableColumns>
  <tableStyleInfo name="Pesanan-style" showColumnStripes="0" showFirstColumn="1" showLastColumn="1" showRowStripes="1"/>
</table>
</file>

<file path=xl/tables/table5.xml><?xml version="1.0" encoding="utf-8"?>
<table xmlns="http://schemas.openxmlformats.org/spreadsheetml/2006/main" ref="A1:H6" displayName="ReturnsTable" name="ReturnsTable" id="5">
  <tableColumns count="8">
    <tableColumn name="Return_ID" id="1"/>
    <tableColumn name="Item_Order_ID" id="2"/>
    <tableColumn name="SKU" id="3"/>
    <tableColumn name="Qty_Retur" id="4"/>
    <tableColumn name="Alasan_Retur" id="5"/>
    <tableColumn name="Hasil_QC" id="6"/>
    <tableColumn name="Nilai_Refund_Rp" id="7"/>
    <tableColumn name="Tanggal_Retur" id="8"/>
  </tableColumns>
  <tableStyleInfo name="Retur-style" showColumnStripes="0" showFirstColumn="1" showLastColumn="1" showRowStripes="1"/>
</table>
</file>

<file path=xl/tables/table6.xml><?xml version="1.0" encoding="utf-8"?>
<table xmlns="http://schemas.openxmlformats.org/spreadsheetml/2006/main" ref="A1:N16" displayName="InventoryTable" name="InventoryTable" id="6">
  <tableColumns count="14">
    <tableColumn name="SKU" id="1"/>
    <tableColumn name="Nama_Produk" id="2"/>
    <tableColumn name="Tipe_Pasokan" id="3"/>
    <tableColumn name="Stok_Awal_01Sep" id="4"/>
    <tableColumn name="Qty_Masuk_Period" id="5"/>
    <tableColumn name="Qty_Terjual_Terkirim" id="6"/>
    <tableColumn name="Qty_Retur_Layak_Jual" id="7"/>
    <tableColumn name="Penyesuaian_Unit" id="8"/>
    <tableColumn name="Stok_Akhir" id="9"/>
    <tableColumn name="Safety_Stock_Unit" id="10"/>
    <tableColumn name="Lead_Time_Target_Hari" id="11"/>
    <tableColumn name="Demand_Rata2_30d_Unit_per_Hari" id="12"/>
    <tableColumn name="Reorder_Point_Unit" id="13"/>
    <tableColumn name="Status_Stok" id="14"/>
  </tableColumns>
  <tableStyleInfo name="Persedia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9.0"/>
    <col customWidth="1" min="3" max="3" width="15.0"/>
    <col customWidth="1" min="4" max="4" width="25.0"/>
    <col customWidth="1" min="5" max="5" width="10.0"/>
    <col customWidth="1" min="6" max="6" width="22.0"/>
    <col customWidth="1" min="7" max="7" width="20.0"/>
    <col customWidth="1" min="8" max="8" width="14.0"/>
    <col customWidth="1" min="9" max="10" width="16.0"/>
    <col customWidth="1" min="11" max="11" width="17.0"/>
    <col customWidth="1" min="12" max="12" width="20.0"/>
    <col customWidth="1" min="13" max="13" width="15.0"/>
    <col customWidth="1" min="14" max="26" width="8.63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>
        <v>42000.0</v>
      </c>
      <c r="J2" s="4">
        <v>89900.0</v>
      </c>
      <c r="K2" s="3">
        <v>5.0</v>
      </c>
      <c r="L2" s="3">
        <v>7.0</v>
      </c>
      <c r="M2" s="5">
        <f t="shared" ref="M2:M16" si="1">IFERROR((J2-I2)/J2,0)</f>
        <v>0.532814238</v>
      </c>
    </row>
    <row r="3">
      <c r="A3" s="3" t="s">
        <v>21</v>
      </c>
      <c r="B3" s="3" t="s">
        <v>22</v>
      </c>
      <c r="C3" s="3" t="s">
        <v>15</v>
      </c>
      <c r="D3" s="3" t="s">
        <v>23</v>
      </c>
      <c r="E3" s="3" t="s">
        <v>24</v>
      </c>
      <c r="F3" s="3" t="s">
        <v>25</v>
      </c>
      <c r="G3" s="3" t="s">
        <v>19</v>
      </c>
      <c r="H3" s="3" t="s">
        <v>20</v>
      </c>
      <c r="I3" s="4">
        <v>38000.0</v>
      </c>
      <c r="J3" s="4">
        <v>79900.0</v>
      </c>
      <c r="K3" s="3">
        <v>6.0</v>
      </c>
      <c r="L3" s="3">
        <v>6.0</v>
      </c>
      <c r="M3" s="5">
        <f t="shared" si="1"/>
        <v>0.5244055069</v>
      </c>
    </row>
    <row r="4">
      <c r="A4" s="3" t="s">
        <v>26</v>
      </c>
      <c r="B4" s="3" t="s">
        <v>27</v>
      </c>
      <c r="C4" s="3" t="s">
        <v>15</v>
      </c>
      <c r="D4" s="3" t="s">
        <v>28</v>
      </c>
      <c r="E4" s="3" t="s">
        <v>24</v>
      </c>
      <c r="F4" s="3" t="s">
        <v>18</v>
      </c>
      <c r="G4" s="3" t="s">
        <v>19</v>
      </c>
      <c r="H4" s="3" t="s">
        <v>29</v>
      </c>
      <c r="I4" s="4">
        <v>45000.0</v>
      </c>
      <c r="J4" s="4">
        <v>95000.0</v>
      </c>
      <c r="K4" s="3">
        <v>4.0</v>
      </c>
      <c r="L4" s="3">
        <v>8.0</v>
      </c>
      <c r="M4" s="5">
        <f t="shared" si="1"/>
        <v>0.5263157895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24</v>
      </c>
      <c r="F5" s="3" t="s">
        <v>34</v>
      </c>
      <c r="G5" s="3" t="s">
        <v>19</v>
      </c>
      <c r="H5" s="3" t="s">
        <v>35</v>
      </c>
      <c r="I5" s="4">
        <v>52000.0</v>
      </c>
      <c r="J5" s="4">
        <v>109000.0</v>
      </c>
      <c r="K5" s="3">
        <v>4.0</v>
      </c>
      <c r="L5" s="3">
        <v>8.0</v>
      </c>
      <c r="M5" s="5">
        <f t="shared" si="1"/>
        <v>0.5229357798</v>
      </c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34</v>
      </c>
      <c r="G6" s="3" t="s">
        <v>41</v>
      </c>
      <c r="H6" s="3" t="s">
        <v>42</v>
      </c>
      <c r="I6" s="4">
        <v>95000.0</v>
      </c>
      <c r="J6" s="4">
        <v>189000.0</v>
      </c>
      <c r="K6" s="3">
        <v>0.0</v>
      </c>
      <c r="L6" s="3">
        <v>0.0</v>
      </c>
      <c r="M6" s="5">
        <f t="shared" si="1"/>
        <v>0.4973544974</v>
      </c>
    </row>
    <row r="7">
      <c r="A7" s="3" t="s">
        <v>43</v>
      </c>
      <c r="B7" s="3" t="s">
        <v>44</v>
      </c>
      <c r="C7" s="3" t="s">
        <v>38</v>
      </c>
      <c r="D7" s="3" t="s">
        <v>45</v>
      </c>
      <c r="E7" s="3" t="s">
        <v>24</v>
      </c>
      <c r="F7" s="3" t="s">
        <v>46</v>
      </c>
      <c r="G7" s="3" t="s">
        <v>41</v>
      </c>
      <c r="H7" s="3" t="s">
        <v>47</v>
      </c>
      <c r="I7" s="4">
        <v>78000.0</v>
      </c>
      <c r="J7" s="4">
        <v>159000.0</v>
      </c>
      <c r="K7" s="3">
        <v>0.0</v>
      </c>
      <c r="L7" s="3">
        <v>0.0</v>
      </c>
      <c r="M7" s="5">
        <f t="shared" si="1"/>
        <v>0.5094339623</v>
      </c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24</v>
      </c>
      <c r="F8" s="3" t="s">
        <v>34</v>
      </c>
      <c r="G8" s="3" t="s">
        <v>19</v>
      </c>
      <c r="H8" s="3" t="s">
        <v>52</v>
      </c>
      <c r="I8" s="4">
        <v>68000.0</v>
      </c>
      <c r="J8" s="4">
        <v>139000.0</v>
      </c>
      <c r="K8" s="3">
        <v>3.0</v>
      </c>
      <c r="L8" s="3">
        <v>10.0</v>
      </c>
      <c r="M8" s="5">
        <f t="shared" si="1"/>
        <v>0.5107913669</v>
      </c>
    </row>
    <row r="9">
      <c r="A9" s="3" t="s">
        <v>53</v>
      </c>
      <c r="B9" s="3" t="s">
        <v>54</v>
      </c>
      <c r="C9" s="3" t="s">
        <v>50</v>
      </c>
      <c r="D9" s="3" t="s">
        <v>55</v>
      </c>
      <c r="E9" s="3" t="s">
        <v>17</v>
      </c>
      <c r="F9" s="3" t="s">
        <v>34</v>
      </c>
      <c r="G9" s="3" t="s">
        <v>41</v>
      </c>
      <c r="H9" s="3" t="s">
        <v>29</v>
      </c>
      <c r="I9" s="4">
        <v>72000.0</v>
      </c>
      <c r="J9" s="4">
        <v>145000.0</v>
      </c>
      <c r="K9" s="3">
        <v>0.0</v>
      </c>
      <c r="L9" s="3">
        <v>0.0</v>
      </c>
      <c r="M9" s="5">
        <f t="shared" si="1"/>
        <v>0.5034482759</v>
      </c>
    </row>
    <row r="10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34</v>
      </c>
      <c r="G10" s="3" t="s">
        <v>19</v>
      </c>
      <c r="H10" s="3" t="s">
        <v>42</v>
      </c>
      <c r="I10" s="4">
        <v>82000.0</v>
      </c>
      <c r="J10" s="4">
        <v>169000.0</v>
      </c>
      <c r="K10" s="3">
        <v>3.0</v>
      </c>
      <c r="L10" s="3">
        <v>9.0</v>
      </c>
      <c r="M10" s="5">
        <f t="shared" si="1"/>
        <v>0.5147928994</v>
      </c>
    </row>
    <row r="11">
      <c r="A11" s="3" t="s">
        <v>61</v>
      </c>
      <c r="B11" s="3" t="s">
        <v>62</v>
      </c>
      <c r="C11" s="3" t="s">
        <v>58</v>
      </c>
      <c r="D11" s="3" t="s">
        <v>63</v>
      </c>
      <c r="E11" s="3" t="s">
        <v>60</v>
      </c>
      <c r="F11" s="3" t="s">
        <v>25</v>
      </c>
      <c r="G11" s="3" t="s">
        <v>19</v>
      </c>
      <c r="H11" s="3" t="s">
        <v>20</v>
      </c>
      <c r="I11" s="4">
        <v>76000.0</v>
      </c>
      <c r="J11" s="4">
        <v>159000.0</v>
      </c>
      <c r="K11" s="3">
        <v>4.0</v>
      </c>
      <c r="L11" s="3">
        <v>7.0</v>
      </c>
      <c r="M11" s="5">
        <f t="shared" si="1"/>
        <v>0.5220125786</v>
      </c>
    </row>
    <row r="12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17</v>
      </c>
      <c r="F12" s="3" t="s">
        <v>34</v>
      </c>
      <c r="G12" s="3" t="s">
        <v>41</v>
      </c>
      <c r="H12" s="3" t="s">
        <v>52</v>
      </c>
      <c r="I12" s="4">
        <v>48000.0</v>
      </c>
      <c r="J12" s="4">
        <v>99000.0</v>
      </c>
      <c r="K12" s="3">
        <v>0.0</v>
      </c>
      <c r="L12" s="3">
        <v>0.0</v>
      </c>
      <c r="M12" s="5">
        <f t="shared" si="1"/>
        <v>0.5151515152</v>
      </c>
    </row>
    <row r="13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40</v>
      </c>
      <c r="F13" s="3" t="s">
        <v>18</v>
      </c>
      <c r="G13" s="3" t="s">
        <v>19</v>
      </c>
      <c r="H13" s="3" t="s">
        <v>29</v>
      </c>
      <c r="I13" s="4">
        <v>85000.0</v>
      </c>
      <c r="J13" s="4">
        <v>179000.0</v>
      </c>
      <c r="K13" s="3">
        <v>3.0</v>
      </c>
      <c r="L13" s="3">
        <v>10.0</v>
      </c>
      <c r="M13" s="5">
        <f t="shared" si="1"/>
        <v>0.5251396648</v>
      </c>
    </row>
    <row r="14">
      <c r="A14" s="3" t="s">
        <v>72</v>
      </c>
      <c r="B14" s="3" t="s">
        <v>73</v>
      </c>
      <c r="C14" s="3" t="s">
        <v>66</v>
      </c>
      <c r="D14" s="3" t="s">
        <v>74</v>
      </c>
      <c r="E14" s="3" t="s">
        <v>17</v>
      </c>
      <c r="F14" s="3" t="s">
        <v>75</v>
      </c>
      <c r="G14" s="3" t="s">
        <v>41</v>
      </c>
      <c r="H14" s="3" t="s">
        <v>52</v>
      </c>
      <c r="I14" s="4">
        <v>55000.0</v>
      </c>
      <c r="J14" s="4">
        <v>115000.0</v>
      </c>
      <c r="K14" s="3">
        <v>0.0</v>
      </c>
      <c r="L14" s="3">
        <v>0.0</v>
      </c>
      <c r="M14" s="5">
        <f t="shared" si="1"/>
        <v>0.5217391304</v>
      </c>
    </row>
    <row r="15">
      <c r="A15" s="3" t="s">
        <v>76</v>
      </c>
      <c r="B15" s="3" t="s">
        <v>77</v>
      </c>
      <c r="C15" s="3" t="s">
        <v>58</v>
      </c>
      <c r="D15" s="3" t="s">
        <v>78</v>
      </c>
      <c r="E15" s="3" t="s">
        <v>79</v>
      </c>
      <c r="F15" s="3" t="s">
        <v>34</v>
      </c>
      <c r="G15" s="3" t="s">
        <v>19</v>
      </c>
      <c r="H15" s="3" t="s">
        <v>42</v>
      </c>
      <c r="I15" s="4">
        <v>46000.0</v>
      </c>
      <c r="J15" s="4">
        <v>99000.0</v>
      </c>
      <c r="K15" s="3">
        <v>4.0</v>
      </c>
      <c r="L15" s="3">
        <v>8.0</v>
      </c>
      <c r="M15" s="5">
        <f t="shared" si="1"/>
        <v>0.5353535354</v>
      </c>
    </row>
    <row r="16">
      <c r="A16" s="3" t="s">
        <v>80</v>
      </c>
      <c r="B16" s="3" t="s">
        <v>81</v>
      </c>
      <c r="C16" s="3" t="s">
        <v>38</v>
      </c>
      <c r="D16" s="3" t="s">
        <v>82</v>
      </c>
      <c r="E16" s="3" t="s">
        <v>24</v>
      </c>
      <c r="F16" s="3" t="s">
        <v>34</v>
      </c>
      <c r="G16" s="3" t="s">
        <v>19</v>
      </c>
      <c r="H16" s="3" t="s">
        <v>47</v>
      </c>
      <c r="I16" s="4">
        <v>88000.0</v>
      </c>
      <c r="J16" s="4">
        <v>179000.0</v>
      </c>
      <c r="K16" s="3">
        <v>3.0</v>
      </c>
      <c r="L16" s="3">
        <v>10.0</v>
      </c>
      <c r="M16" s="5">
        <f t="shared" si="1"/>
        <v>0.5083798883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8.0"/>
    <col customWidth="1" min="3" max="3" width="29.0"/>
    <col customWidth="1" min="4" max="4" width="18.0"/>
    <col customWidth="1" min="5" max="5" width="20.0"/>
    <col customWidth="1" min="6" max="6" width="12.0"/>
    <col customWidth="1" min="7" max="7" width="24.0"/>
    <col customWidth="1" min="8" max="8" width="18.0"/>
    <col customWidth="1" min="9" max="26" width="8.63"/>
  </cols>
  <sheetData>
    <row r="1" ht="30.0" customHeight="1">
      <c r="A1" s="1" t="s">
        <v>7</v>
      </c>
      <c r="B1" s="2" t="s">
        <v>83</v>
      </c>
      <c r="C1" s="2" t="s">
        <v>84</v>
      </c>
      <c r="D1" s="2" t="s">
        <v>85</v>
      </c>
      <c r="E1" s="2" t="s">
        <v>11</v>
      </c>
      <c r="F1" s="2" t="s">
        <v>86</v>
      </c>
      <c r="G1" s="2" t="s">
        <v>87</v>
      </c>
      <c r="H1" s="2" t="s">
        <v>88</v>
      </c>
    </row>
    <row r="2">
      <c r="A2" s="3" t="s">
        <v>29</v>
      </c>
      <c r="B2" s="3" t="s">
        <v>89</v>
      </c>
      <c r="C2" s="3" t="s">
        <v>90</v>
      </c>
      <c r="D2" s="3" t="s">
        <v>91</v>
      </c>
      <c r="E2" s="3">
        <v>8.0</v>
      </c>
      <c r="F2" s="3">
        <v>12.0</v>
      </c>
      <c r="G2" s="5">
        <v>0.07</v>
      </c>
      <c r="H2" s="3">
        <v>4.5</v>
      </c>
    </row>
    <row r="3">
      <c r="A3" s="3" t="s">
        <v>20</v>
      </c>
      <c r="B3" s="3" t="s">
        <v>92</v>
      </c>
      <c r="C3" s="3" t="s">
        <v>93</v>
      </c>
      <c r="D3" s="3" t="s">
        <v>94</v>
      </c>
      <c r="E3" s="3">
        <v>6.0</v>
      </c>
      <c r="F3" s="3">
        <v>24.0</v>
      </c>
      <c r="G3" s="5">
        <v>0.025</v>
      </c>
      <c r="H3" s="3">
        <v>4.7</v>
      </c>
    </row>
    <row r="4">
      <c r="A4" s="3" t="s">
        <v>42</v>
      </c>
      <c r="B4" s="3" t="s">
        <v>95</v>
      </c>
      <c r="C4" s="3" t="s">
        <v>96</v>
      </c>
      <c r="D4" s="3" t="s">
        <v>97</v>
      </c>
      <c r="E4" s="3">
        <v>9.0</v>
      </c>
      <c r="F4" s="3">
        <v>8.0</v>
      </c>
      <c r="G4" s="5">
        <v>0.06</v>
      </c>
      <c r="H4" s="3">
        <v>4.2</v>
      </c>
    </row>
    <row r="5">
      <c r="A5" s="3" t="s">
        <v>35</v>
      </c>
      <c r="B5" s="3" t="s">
        <v>98</v>
      </c>
      <c r="C5" s="3" t="s">
        <v>99</v>
      </c>
      <c r="D5" s="3" t="s">
        <v>91</v>
      </c>
      <c r="E5" s="3">
        <v>8.0</v>
      </c>
      <c r="F5" s="3">
        <v>10.0</v>
      </c>
      <c r="G5" s="5">
        <v>0.045</v>
      </c>
      <c r="H5" s="3">
        <v>4.4</v>
      </c>
    </row>
    <row r="6">
      <c r="A6" s="3" t="s">
        <v>47</v>
      </c>
      <c r="B6" s="3" t="s">
        <v>100</v>
      </c>
      <c r="C6" s="3" t="s">
        <v>101</v>
      </c>
      <c r="D6" s="3" t="s">
        <v>102</v>
      </c>
      <c r="E6" s="3">
        <v>10.0</v>
      </c>
      <c r="F6" s="3">
        <v>6.0</v>
      </c>
      <c r="G6" s="5">
        <v>0.055</v>
      </c>
      <c r="H6" s="3">
        <v>4.3</v>
      </c>
    </row>
    <row r="7">
      <c r="A7" s="3" t="s">
        <v>52</v>
      </c>
      <c r="B7" s="3" t="s">
        <v>103</v>
      </c>
      <c r="C7" s="3" t="s">
        <v>104</v>
      </c>
      <c r="D7" s="3" t="s">
        <v>105</v>
      </c>
      <c r="E7" s="3">
        <v>10.0</v>
      </c>
      <c r="F7" s="3">
        <v>8.0</v>
      </c>
      <c r="G7" s="5">
        <v>0.04</v>
      </c>
      <c r="H7" s="3">
        <v>4.1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15.0"/>
    <col customWidth="1" min="4" max="4" width="14.0"/>
    <col customWidth="1" min="5" max="5" width="17.0"/>
    <col customWidth="1" min="6" max="7" width="13.0"/>
    <col customWidth="1" min="8" max="8" width="16.0"/>
    <col customWidth="1" min="9" max="9" width="22.0"/>
    <col customWidth="1" min="10" max="10" width="12.0"/>
    <col customWidth="1" min="11" max="11" width="20.0"/>
    <col customWidth="1" min="12" max="26" width="8.63"/>
  </cols>
  <sheetData>
    <row r="1" ht="30.0" customHeight="1">
      <c r="A1" s="1" t="s">
        <v>106</v>
      </c>
      <c r="B1" s="2" t="s">
        <v>107</v>
      </c>
      <c r="C1" s="2" t="s">
        <v>108</v>
      </c>
      <c r="D1" s="2" t="s">
        <v>7</v>
      </c>
      <c r="E1" s="2" t="s">
        <v>0</v>
      </c>
      <c r="F1" s="2" t="s">
        <v>109</v>
      </c>
      <c r="G1" s="2" t="s">
        <v>110</v>
      </c>
      <c r="H1" s="2" t="s">
        <v>8</v>
      </c>
      <c r="I1" s="2" t="s">
        <v>111</v>
      </c>
      <c r="J1" s="2" t="s">
        <v>112</v>
      </c>
      <c r="K1" s="2" t="s">
        <v>113</v>
      </c>
    </row>
    <row r="2">
      <c r="A2" s="3" t="s">
        <v>114</v>
      </c>
      <c r="B2" s="6">
        <v>46301.0</v>
      </c>
      <c r="C2" s="6">
        <v>46304.0</v>
      </c>
      <c r="D2" s="3" t="s">
        <v>20</v>
      </c>
      <c r="E2" s="3" t="s">
        <v>13</v>
      </c>
      <c r="F2" s="3">
        <v>4.0</v>
      </c>
      <c r="G2" s="3">
        <v>4.0</v>
      </c>
      <c r="H2" s="4">
        <v>42000.0</v>
      </c>
      <c r="I2" s="3">
        <f t="shared" ref="I2:I27" si="1">IF(C2="","",C2-B2)</f>
        <v>3</v>
      </c>
      <c r="J2" s="3">
        <v>0.0</v>
      </c>
      <c r="K2" s="4">
        <f t="shared" ref="K2:K27" si="2">G2*H2</f>
        <v>168000</v>
      </c>
    </row>
    <row r="3">
      <c r="A3" s="3" t="s">
        <v>115</v>
      </c>
      <c r="B3" s="6">
        <v>46287.0</v>
      </c>
      <c r="C3" s="6">
        <v>46295.0</v>
      </c>
      <c r="D3" s="3" t="s">
        <v>20</v>
      </c>
      <c r="E3" s="3" t="s">
        <v>13</v>
      </c>
      <c r="F3" s="3">
        <v>2.0</v>
      </c>
      <c r="G3" s="3">
        <v>2.0</v>
      </c>
      <c r="H3" s="4">
        <v>42000.0</v>
      </c>
      <c r="I3" s="3">
        <f t="shared" si="1"/>
        <v>8</v>
      </c>
      <c r="J3" s="3">
        <v>0.0</v>
      </c>
      <c r="K3" s="4">
        <f t="shared" si="2"/>
        <v>84000</v>
      </c>
    </row>
    <row r="4">
      <c r="A4" s="3" t="s">
        <v>116</v>
      </c>
      <c r="B4" s="6">
        <v>46291.0</v>
      </c>
      <c r="C4" s="6">
        <v>46299.0</v>
      </c>
      <c r="D4" s="3" t="s">
        <v>20</v>
      </c>
      <c r="E4" s="3" t="s">
        <v>13</v>
      </c>
      <c r="F4" s="3">
        <v>3.0</v>
      </c>
      <c r="G4" s="3">
        <v>3.0</v>
      </c>
      <c r="H4" s="4">
        <v>42000.0</v>
      </c>
      <c r="I4" s="3">
        <f t="shared" si="1"/>
        <v>8</v>
      </c>
      <c r="J4" s="3">
        <v>0.0</v>
      </c>
      <c r="K4" s="4">
        <f t="shared" si="2"/>
        <v>126000</v>
      </c>
    </row>
    <row r="5">
      <c r="A5" s="3" t="s">
        <v>117</v>
      </c>
      <c r="B5" s="6">
        <v>46288.0</v>
      </c>
      <c r="C5" s="6">
        <v>46298.0</v>
      </c>
      <c r="D5" s="3" t="s">
        <v>20</v>
      </c>
      <c r="E5" s="3" t="s">
        <v>21</v>
      </c>
      <c r="F5" s="3">
        <v>4.0</v>
      </c>
      <c r="G5" s="3">
        <v>4.0</v>
      </c>
      <c r="H5" s="4">
        <v>38000.0</v>
      </c>
      <c r="I5" s="3">
        <f t="shared" si="1"/>
        <v>10</v>
      </c>
      <c r="J5" s="3">
        <v>0.0</v>
      </c>
      <c r="K5" s="4">
        <f t="shared" si="2"/>
        <v>152000</v>
      </c>
    </row>
    <row r="6">
      <c r="A6" s="3" t="s">
        <v>118</v>
      </c>
      <c r="B6" s="6">
        <v>46292.0</v>
      </c>
      <c r="C6" s="6">
        <v>46299.0</v>
      </c>
      <c r="D6" s="3" t="s">
        <v>20</v>
      </c>
      <c r="E6" s="3" t="s">
        <v>21</v>
      </c>
      <c r="F6" s="3">
        <v>2.0</v>
      </c>
      <c r="G6" s="3">
        <v>2.0</v>
      </c>
      <c r="H6" s="4">
        <v>38000.0</v>
      </c>
      <c r="I6" s="3">
        <f t="shared" si="1"/>
        <v>7</v>
      </c>
      <c r="J6" s="3">
        <v>0.0</v>
      </c>
      <c r="K6" s="4">
        <f t="shared" si="2"/>
        <v>76000</v>
      </c>
    </row>
    <row r="7">
      <c r="A7" s="3" t="s">
        <v>119</v>
      </c>
      <c r="B7" s="6">
        <v>46296.0</v>
      </c>
      <c r="C7" s="6">
        <v>46303.0</v>
      </c>
      <c r="D7" s="3" t="s">
        <v>29</v>
      </c>
      <c r="E7" s="3" t="s">
        <v>26</v>
      </c>
      <c r="F7" s="3">
        <v>6.0</v>
      </c>
      <c r="G7" s="3">
        <v>6.0</v>
      </c>
      <c r="H7" s="4">
        <v>45000.0</v>
      </c>
      <c r="I7" s="3">
        <f t="shared" si="1"/>
        <v>7</v>
      </c>
      <c r="J7" s="3">
        <v>0.0</v>
      </c>
      <c r="K7" s="4">
        <f t="shared" si="2"/>
        <v>270000</v>
      </c>
    </row>
    <row r="8">
      <c r="A8" s="3" t="s">
        <v>120</v>
      </c>
      <c r="B8" s="6">
        <v>46297.0</v>
      </c>
      <c r="C8" s="6">
        <v>46303.0</v>
      </c>
      <c r="D8" s="3" t="s">
        <v>29</v>
      </c>
      <c r="E8" s="3" t="s">
        <v>26</v>
      </c>
      <c r="F8" s="3">
        <v>3.0</v>
      </c>
      <c r="G8" s="3">
        <v>3.0</v>
      </c>
      <c r="H8" s="4">
        <v>45000.0</v>
      </c>
      <c r="I8" s="3">
        <f t="shared" si="1"/>
        <v>6</v>
      </c>
      <c r="J8" s="3">
        <v>0.0</v>
      </c>
      <c r="K8" s="4">
        <f t="shared" si="2"/>
        <v>135000</v>
      </c>
    </row>
    <row r="9">
      <c r="A9" s="3" t="s">
        <v>121</v>
      </c>
      <c r="B9" s="6">
        <v>46308.0</v>
      </c>
      <c r="C9" s="6">
        <v>46315.0</v>
      </c>
      <c r="D9" s="3" t="s">
        <v>29</v>
      </c>
      <c r="E9" s="3" t="s">
        <v>26</v>
      </c>
      <c r="F9" s="3">
        <v>2.0</v>
      </c>
      <c r="G9" s="3">
        <v>2.0</v>
      </c>
      <c r="H9" s="4">
        <v>45000.0</v>
      </c>
      <c r="I9" s="3">
        <f t="shared" si="1"/>
        <v>7</v>
      </c>
      <c r="J9" s="3">
        <v>0.0</v>
      </c>
      <c r="K9" s="4">
        <f t="shared" si="2"/>
        <v>90000</v>
      </c>
    </row>
    <row r="10">
      <c r="A10" s="3" t="s">
        <v>122</v>
      </c>
      <c r="B10" s="6">
        <v>46288.0</v>
      </c>
      <c r="C10" s="6">
        <v>46296.0</v>
      </c>
      <c r="D10" s="3" t="s">
        <v>35</v>
      </c>
      <c r="E10" s="3" t="s">
        <v>30</v>
      </c>
      <c r="F10" s="3">
        <v>18.0</v>
      </c>
      <c r="G10" s="3">
        <v>18.0</v>
      </c>
      <c r="H10" s="4">
        <v>52000.0</v>
      </c>
      <c r="I10" s="3">
        <f t="shared" si="1"/>
        <v>8</v>
      </c>
      <c r="J10" s="3">
        <v>0.0</v>
      </c>
      <c r="K10" s="4">
        <f t="shared" si="2"/>
        <v>936000</v>
      </c>
    </row>
    <row r="11">
      <c r="A11" s="3" t="s">
        <v>123</v>
      </c>
      <c r="B11" s="6">
        <v>46243.0</v>
      </c>
      <c r="C11" s="6">
        <v>46254.0</v>
      </c>
      <c r="D11" s="3" t="s">
        <v>42</v>
      </c>
      <c r="E11" s="3" t="s">
        <v>36</v>
      </c>
      <c r="F11" s="3">
        <v>2.0</v>
      </c>
      <c r="G11" s="3">
        <v>2.0</v>
      </c>
      <c r="H11" s="4">
        <v>95000.0</v>
      </c>
      <c r="I11" s="3">
        <f t="shared" si="1"/>
        <v>11</v>
      </c>
      <c r="J11" s="3">
        <v>0.0</v>
      </c>
      <c r="K11" s="4">
        <f t="shared" si="2"/>
        <v>190000</v>
      </c>
    </row>
    <row r="12">
      <c r="A12" s="3" t="s">
        <v>124</v>
      </c>
      <c r="B12" s="6">
        <v>46239.0</v>
      </c>
      <c r="C12" s="6">
        <v>46250.0</v>
      </c>
      <c r="D12" s="3" t="s">
        <v>47</v>
      </c>
      <c r="E12" s="3" t="s">
        <v>43</v>
      </c>
      <c r="F12" s="3">
        <v>9.0</v>
      </c>
      <c r="G12" s="3">
        <v>9.0</v>
      </c>
      <c r="H12" s="4">
        <v>78000.0</v>
      </c>
      <c r="I12" s="3">
        <f t="shared" si="1"/>
        <v>11</v>
      </c>
      <c r="J12" s="3">
        <v>0.0</v>
      </c>
      <c r="K12" s="4">
        <f t="shared" si="2"/>
        <v>702000</v>
      </c>
    </row>
    <row r="13">
      <c r="A13" s="3" t="s">
        <v>125</v>
      </c>
      <c r="B13" s="6">
        <v>46303.0</v>
      </c>
      <c r="C13" s="6">
        <v>46314.0</v>
      </c>
      <c r="D13" s="3" t="s">
        <v>52</v>
      </c>
      <c r="E13" s="3" t="s">
        <v>48</v>
      </c>
      <c r="F13" s="3">
        <v>15.0</v>
      </c>
      <c r="G13" s="3">
        <v>15.0</v>
      </c>
      <c r="H13" s="4">
        <v>68000.0</v>
      </c>
      <c r="I13" s="3">
        <f t="shared" si="1"/>
        <v>11</v>
      </c>
      <c r="J13" s="3">
        <v>0.0</v>
      </c>
      <c r="K13" s="4">
        <f t="shared" si="2"/>
        <v>1020000</v>
      </c>
    </row>
    <row r="14">
      <c r="A14" s="3" t="s">
        <v>126</v>
      </c>
      <c r="B14" s="6">
        <v>46240.0</v>
      </c>
      <c r="C14" s="6">
        <v>46250.0</v>
      </c>
      <c r="D14" s="3" t="s">
        <v>29</v>
      </c>
      <c r="E14" s="3" t="s">
        <v>53</v>
      </c>
      <c r="F14" s="3">
        <v>3.0</v>
      </c>
      <c r="G14" s="3">
        <v>3.0</v>
      </c>
      <c r="H14" s="4">
        <v>72000.0</v>
      </c>
      <c r="I14" s="3">
        <f t="shared" si="1"/>
        <v>10</v>
      </c>
      <c r="J14" s="3">
        <v>0.0</v>
      </c>
      <c r="K14" s="4">
        <f t="shared" si="2"/>
        <v>216000</v>
      </c>
    </row>
    <row r="15">
      <c r="A15" s="3" t="s">
        <v>127</v>
      </c>
      <c r="B15" s="6">
        <v>46293.0</v>
      </c>
      <c r="C15" s="6">
        <v>46300.0</v>
      </c>
      <c r="D15" s="3" t="s">
        <v>42</v>
      </c>
      <c r="E15" s="3" t="s">
        <v>56</v>
      </c>
      <c r="F15" s="3">
        <v>12.0</v>
      </c>
      <c r="G15" s="3">
        <v>12.0</v>
      </c>
      <c r="H15" s="4">
        <v>82000.0</v>
      </c>
      <c r="I15" s="3">
        <f t="shared" si="1"/>
        <v>7</v>
      </c>
      <c r="J15" s="3">
        <v>0.0</v>
      </c>
      <c r="K15" s="4">
        <f t="shared" si="2"/>
        <v>984000</v>
      </c>
    </row>
    <row r="16">
      <c r="A16" s="3" t="s">
        <v>128</v>
      </c>
      <c r="B16" s="6">
        <v>46311.0</v>
      </c>
      <c r="C16" s="6">
        <v>46315.0</v>
      </c>
      <c r="D16" s="3" t="s">
        <v>20</v>
      </c>
      <c r="E16" s="3" t="s">
        <v>61</v>
      </c>
      <c r="F16" s="3">
        <v>3.0</v>
      </c>
      <c r="G16" s="3">
        <v>3.0</v>
      </c>
      <c r="H16" s="4">
        <v>76000.0</v>
      </c>
      <c r="I16" s="3">
        <f t="shared" si="1"/>
        <v>4</v>
      </c>
      <c r="J16" s="3">
        <v>0.0</v>
      </c>
      <c r="K16" s="4">
        <f t="shared" si="2"/>
        <v>228000</v>
      </c>
    </row>
    <row r="17">
      <c r="A17" s="3" t="s">
        <v>129</v>
      </c>
      <c r="B17" s="6">
        <v>46303.0</v>
      </c>
      <c r="C17" s="6">
        <v>46313.0</v>
      </c>
      <c r="D17" s="3" t="s">
        <v>20</v>
      </c>
      <c r="E17" s="3" t="s">
        <v>61</v>
      </c>
      <c r="F17" s="3">
        <v>8.0</v>
      </c>
      <c r="G17" s="3">
        <v>8.0</v>
      </c>
      <c r="H17" s="4">
        <v>76000.0</v>
      </c>
      <c r="I17" s="3">
        <f t="shared" si="1"/>
        <v>10</v>
      </c>
      <c r="J17" s="3">
        <v>0.0</v>
      </c>
      <c r="K17" s="4">
        <f t="shared" si="2"/>
        <v>608000</v>
      </c>
    </row>
    <row r="18">
      <c r="A18" s="3" t="s">
        <v>130</v>
      </c>
      <c r="B18" s="6">
        <v>46286.0</v>
      </c>
      <c r="C18" s="6">
        <v>46293.0</v>
      </c>
      <c r="D18" s="3" t="s">
        <v>20</v>
      </c>
      <c r="E18" s="3" t="s">
        <v>61</v>
      </c>
      <c r="F18" s="3">
        <v>2.0</v>
      </c>
      <c r="G18" s="3">
        <v>2.0</v>
      </c>
      <c r="H18" s="4">
        <v>76000.0</v>
      </c>
      <c r="I18" s="3">
        <f t="shared" si="1"/>
        <v>7</v>
      </c>
      <c r="J18" s="3">
        <v>0.0</v>
      </c>
      <c r="K18" s="4">
        <f t="shared" si="2"/>
        <v>152000</v>
      </c>
    </row>
    <row r="19">
      <c r="A19" s="3" t="s">
        <v>131</v>
      </c>
      <c r="B19" s="6">
        <v>46246.0</v>
      </c>
      <c r="C19" s="6">
        <v>46258.0</v>
      </c>
      <c r="D19" s="3" t="s">
        <v>52</v>
      </c>
      <c r="E19" s="3" t="s">
        <v>64</v>
      </c>
      <c r="F19" s="3">
        <v>1.0</v>
      </c>
      <c r="G19" s="3">
        <v>1.0</v>
      </c>
      <c r="H19" s="4">
        <v>48000.0</v>
      </c>
      <c r="I19" s="3">
        <f t="shared" si="1"/>
        <v>12</v>
      </c>
      <c r="J19" s="3">
        <v>0.0</v>
      </c>
      <c r="K19" s="4">
        <f t="shared" si="2"/>
        <v>48000</v>
      </c>
    </row>
    <row r="20">
      <c r="A20" s="3" t="s">
        <v>132</v>
      </c>
      <c r="B20" s="6">
        <v>46289.0</v>
      </c>
      <c r="C20" s="6">
        <v>46299.0</v>
      </c>
      <c r="D20" s="3" t="s">
        <v>29</v>
      </c>
      <c r="E20" s="3" t="s">
        <v>68</v>
      </c>
      <c r="F20" s="3">
        <v>1.0</v>
      </c>
      <c r="G20" s="3">
        <v>1.0</v>
      </c>
      <c r="H20" s="4">
        <v>85000.0</v>
      </c>
      <c r="I20" s="3">
        <f t="shared" si="1"/>
        <v>10</v>
      </c>
      <c r="J20" s="3">
        <v>0.0</v>
      </c>
      <c r="K20" s="4">
        <f t="shared" si="2"/>
        <v>85000</v>
      </c>
    </row>
    <row r="21" ht="15.75" customHeight="1">
      <c r="A21" s="3" t="s">
        <v>133</v>
      </c>
      <c r="B21" s="6">
        <v>46308.0</v>
      </c>
      <c r="C21" s="6">
        <v>46313.0</v>
      </c>
      <c r="D21" s="3" t="s">
        <v>29</v>
      </c>
      <c r="E21" s="3" t="s">
        <v>68</v>
      </c>
      <c r="F21" s="3">
        <v>3.0</v>
      </c>
      <c r="G21" s="3">
        <v>3.0</v>
      </c>
      <c r="H21" s="4">
        <v>85000.0</v>
      </c>
      <c r="I21" s="3">
        <f t="shared" si="1"/>
        <v>5</v>
      </c>
      <c r="J21" s="3">
        <v>0.0</v>
      </c>
      <c r="K21" s="4">
        <f t="shared" si="2"/>
        <v>255000</v>
      </c>
    </row>
    <row r="22" ht="15.75" customHeight="1">
      <c r="A22" s="3" t="s">
        <v>134</v>
      </c>
      <c r="B22" s="6">
        <v>46248.0</v>
      </c>
      <c r="C22" s="6">
        <v>46256.0</v>
      </c>
      <c r="D22" s="3" t="s">
        <v>52</v>
      </c>
      <c r="E22" s="3" t="s">
        <v>72</v>
      </c>
      <c r="F22" s="3">
        <v>6.0</v>
      </c>
      <c r="G22" s="3">
        <v>6.0</v>
      </c>
      <c r="H22" s="4">
        <v>55000.0</v>
      </c>
      <c r="I22" s="3">
        <f t="shared" si="1"/>
        <v>8</v>
      </c>
      <c r="J22" s="3">
        <v>0.0</v>
      </c>
      <c r="K22" s="4">
        <f t="shared" si="2"/>
        <v>330000</v>
      </c>
    </row>
    <row r="23" ht="15.75" customHeight="1">
      <c r="A23" s="3" t="s">
        <v>135</v>
      </c>
      <c r="B23" s="6">
        <v>46304.0</v>
      </c>
      <c r="C23" s="6">
        <v>46311.0</v>
      </c>
      <c r="D23" s="3" t="s">
        <v>42</v>
      </c>
      <c r="E23" s="3" t="s">
        <v>76</v>
      </c>
      <c r="F23" s="3">
        <v>6.0</v>
      </c>
      <c r="G23" s="3">
        <v>6.0</v>
      </c>
      <c r="H23" s="4">
        <v>46000.0</v>
      </c>
      <c r="I23" s="3">
        <f t="shared" si="1"/>
        <v>7</v>
      </c>
      <c r="J23" s="3">
        <v>0.0</v>
      </c>
      <c r="K23" s="4">
        <f t="shared" si="2"/>
        <v>276000</v>
      </c>
    </row>
    <row r="24" ht="15.75" customHeight="1">
      <c r="A24" s="3" t="s">
        <v>136</v>
      </c>
      <c r="B24" s="6">
        <v>46304.0</v>
      </c>
      <c r="C24" s="6">
        <v>46315.0</v>
      </c>
      <c r="D24" s="3" t="s">
        <v>42</v>
      </c>
      <c r="E24" s="3" t="s">
        <v>76</v>
      </c>
      <c r="F24" s="3">
        <v>5.0</v>
      </c>
      <c r="G24" s="3">
        <v>5.0</v>
      </c>
      <c r="H24" s="4">
        <v>46000.0</v>
      </c>
      <c r="I24" s="3">
        <f t="shared" si="1"/>
        <v>11</v>
      </c>
      <c r="J24" s="3">
        <v>0.0</v>
      </c>
      <c r="K24" s="4">
        <f t="shared" si="2"/>
        <v>230000</v>
      </c>
    </row>
    <row r="25" ht="15.75" customHeight="1">
      <c r="A25" s="3" t="s">
        <v>137</v>
      </c>
      <c r="B25" s="6">
        <v>46288.0</v>
      </c>
      <c r="C25" s="6">
        <v>46301.0</v>
      </c>
      <c r="D25" s="3" t="s">
        <v>47</v>
      </c>
      <c r="E25" s="3" t="s">
        <v>80</v>
      </c>
      <c r="F25" s="3">
        <v>2.0</v>
      </c>
      <c r="G25" s="3">
        <v>2.0</v>
      </c>
      <c r="H25" s="4">
        <v>88000.0</v>
      </c>
      <c r="I25" s="3">
        <f t="shared" si="1"/>
        <v>13</v>
      </c>
      <c r="J25" s="3">
        <v>0.0</v>
      </c>
      <c r="K25" s="4">
        <f t="shared" si="2"/>
        <v>176000</v>
      </c>
    </row>
    <row r="26" ht="15.75" customHeight="1">
      <c r="A26" s="3" t="s">
        <v>138</v>
      </c>
      <c r="B26" s="6">
        <v>46303.0</v>
      </c>
      <c r="C26" s="6">
        <v>46314.0</v>
      </c>
      <c r="D26" s="3" t="s">
        <v>47</v>
      </c>
      <c r="E26" s="3" t="s">
        <v>80</v>
      </c>
      <c r="F26" s="3">
        <v>2.0</v>
      </c>
      <c r="G26" s="3">
        <v>2.0</v>
      </c>
      <c r="H26" s="4">
        <v>88000.0</v>
      </c>
      <c r="I26" s="3">
        <f t="shared" si="1"/>
        <v>11</v>
      </c>
      <c r="J26" s="3">
        <v>0.0</v>
      </c>
      <c r="K26" s="4">
        <f t="shared" si="2"/>
        <v>176000</v>
      </c>
    </row>
    <row r="27" ht="15.75" customHeight="1">
      <c r="A27" s="3" t="s">
        <v>139</v>
      </c>
      <c r="B27" s="6">
        <v>46299.0</v>
      </c>
      <c r="C27" s="6">
        <v>46307.0</v>
      </c>
      <c r="D27" s="3" t="s">
        <v>47</v>
      </c>
      <c r="E27" s="3" t="s">
        <v>80</v>
      </c>
      <c r="F27" s="3">
        <v>2.0</v>
      </c>
      <c r="G27" s="3">
        <v>2.0</v>
      </c>
      <c r="H27" s="4">
        <v>88000.0</v>
      </c>
      <c r="I27" s="3">
        <f t="shared" si="1"/>
        <v>8</v>
      </c>
      <c r="J27" s="3">
        <v>0.0</v>
      </c>
      <c r="K27" s="4">
        <f t="shared" si="2"/>
        <v>176000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17.0"/>
    <col customWidth="1" min="5" max="5" width="8.0"/>
    <col customWidth="1" min="6" max="6" width="18.0"/>
    <col customWidth="1" min="7" max="7" width="12.0"/>
    <col customWidth="1" min="8" max="8" width="24.0"/>
    <col customWidth="1" min="9" max="9" width="16.0"/>
    <col customWidth="1" min="10" max="10" width="20.0"/>
    <col customWidth="1" min="11" max="11" width="16.0"/>
    <col customWidth="1" min="12" max="13" width="15.0"/>
    <col customWidth="1" min="14" max="14" width="21.0"/>
    <col customWidth="1" min="15" max="15" width="18.0"/>
    <col customWidth="1" min="16" max="16" width="23.0"/>
    <col customWidth="1" min="17" max="18" width="18.0"/>
    <col customWidth="1" min="19" max="26" width="8.63"/>
  </cols>
  <sheetData>
    <row r="1" ht="30.0" customHeight="1">
      <c r="A1" s="1" t="s">
        <v>140</v>
      </c>
      <c r="B1" s="2" t="s">
        <v>141</v>
      </c>
      <c r="C1" s="2" t="s">
        <v>142</v>
      </c>
      <c r="D1" s="2" t="s">
        <v>0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  <c r="O1" s="2" t="s">
        <v>153</v>
      </c>
      <c r="P1" s="2" t="s">
        <v>154</v>
      </c>
      <c r="Q1" s="2" t="s">
        <v>155</v>
      </c>
      <c r="R1" s="2" t="s">
        <v>156</v>
      </c>
    </row>
    <row r="2">
      <c r="A2" s="3" t="s">
        <v>157</v>
      </c>
      <c r="B2" s="3" t="s">
        <v>158</v>
      </c>
      <c r="C2" s="6">
        <v>46288.0</v>
      </c>
      <c r="D2" s="3" t="s">
        <v>21</v>
      </c>
      <c r="E2" s="3">
        <v>1.0</v>
      </c>
      <c r="F2" s="4">
        <v>79900.0</v>
      </c>
      <c r="G2" s="4">
        <v>0.0</v>
      </c>
      <c r="H2" s="4">
        <v>7191.0</v>
      </c>
      <c r="I2" s="3" t="s">
        <v>159</v>
      </c>
      <c r="J2" s="3" t="s">
        <v>160</v>
      </c>
      <c r="K2" s="3" t="s">
        <v>161</v>
      </c>
      <c r="L2" s="6">
        <v>46289.0</v>
      </c>
      <c r="M2" s="6">
        <v>46294.0</v>
      </c>
      <c r="N2" s="3">
        <f t="shared" ref="N2:N87" si="1">IF(L2="","",L2-C2)</f>
        <v>1</v>
      </c>
      <c r="O2" s="4">
        <f t="shared" ref="O2:O87" si="2">E2*F2</f>
        <v>79900</v>
      </c>
      <c r="P2" s="4">
        <f t="shared" ref="P2:P87" si="3">O2-G2-H2</f>
        <v>72709</v>
      </c>
      <c r="Q2" s="4">
        <f>E2*VLOOKUP(D2,Produk_Master!$A$2:$I$16,9,FALSE)</f>
        <v>38000</v>
      </c>
      <c r="R2" s="4">
        <f t="shared" ref="R2:R87" si="4">P2-Q2</f>
        <v>34709</v>
      </c>
    </row>
    <row r="3">
      <c r="A3" s="3" t="s">
        <v>162</v>
      </c>
      <c r="B3" s="3" t="s">
        <v>163</v>
      </c>
      <c r="C3" s="6">
        <v>46288.0</v>
      </c>
      <c r="D3" s="3" t="s">
        <v>26</v>
      </c>
      <c r="E3" s="3">
        <v>1.0</v>
      </c>
      <c r="F3" s="4">
        <v>95000.0</v>
      </c>
      <c r="G3" s="4">
        <v>5000.0</v>
      </c>
      <c r="H3" s="4">
        <v>7600.0</v>
      </c>
      <c r="I3" s="3" t="s">
        <v>159</v>
      </c>
      <c r="J3" s="3" t="s">
        <v>164</v>
      </c>
      <c r="K3" s="3" t="s">
        <v>161</v>
      </c>
      <c r="L3" s="6">
        <v>46289.0</v>
      </c>
      <c r="M3" s="6">
        <v>46290.0</v>
      </c>
      <c r="N3" s="3">
        <f t="shared" si="1"/>
        <v>1</v>
      </c>
      <c r="O3" s="4">
        <f t="shared" si="2"/>
        <v>95000</v>
      </c>
      <c r="P3" s="4">
        <f t="shared" si="3"/>
        <v>82400</v>
      </c>
      <c r="Q3" s="4">
        <f>E3*VLOOKUP(D3,Produk_Master!$A$2:$I$16,9,FALSE)</f>
        <v>45000</v>
      </c>
      <c r="R3" s="4">
        <f t="shared" si="4"/>
        <v>37400</v>
      </c>
    </row>
    <row r="4">
      <c r="A4" s="3" t="s">
        <v>165</v>
      </c>
      <c r="B4" s="3" t="s">
        <v>166</v>
      </c>
      <c r="C4" s="6">
        <v>46287.0</v>
      </c>
      <c r="D4" s="3" t="s">
        <v>48</v>
      </c>
      <c r="E4" s="3">
        <v>1.0</v>
      </c>
      <c r="F4" s="4">
        <v>139000.0</v>
      </c>
      <c r="G4" s="4">
        <v>0.0</v>
      </c>
      <c r="H4" s="4">
        <v>9730.0</v>
      </c>
      <c r="I4" s="3" t="s">
        <v>167</v>
      </c>
      <c r="J4" s="3" t="s">
        <v>160</v>
      </c>
      <c r="K4" s="3" t="s">
        <v>168</v>
      </c>
      <c r="L4" s="6"/>
      <c r="M4" s="6"/>
      <c r="N4" s="3" t="str">
        <f t="shared" si="1"/>
        <v/>
      </c>
      <c r="O4" s="4">
        <f t="shared" si="2"/>
        <v>139000</v>
      </c>
      <c r="P4" s="4">
        <f t="shared" si="3"/>
        <v>129270</v>
      </c>
      <c r="Q4" s="4">
        <f>E4*VLOOKUP(D4,Produk_Master!$A$2:$I$16,9,FALSE)</f>
        <v>68000</v>
      </c>
      <c r="R4" s="4">
        <f t="shared" si="4"/>
        <v>61270</v>
      </c>
    </row>
    <row r="5">
      <c r="A5" s="3" t="s">
        <v>169</v>
      </c>
      <c r="B5" s="3" t="s">
        <v>170</v>
      </c>
      <c r="C5" s="6">
        <v>46286.0</v>
      </c>
      <c r="D5" s="3" t="s">
        <v>36</v>
      </c>
      <c r="E5" s="3">
        <v>1.0</v>
      </c>
      <c r="F5" s="4">
        <v>189000.0</v>
      </c>
      <c r="G5" s="4">
        <v>5000.0</v>
      </c>
      <c r="H5" s="4">
        <v>13230.0</v>
      </c>
      <c r="I5" s="3" t="s">
        <v>167</v>
      </c>
      <c r="J5" s="3" t="s">
        <v>171</v>
      </c>
      <c r="K5" s="3" t="s">
        <v>168</v>
      </c>
      <c r="L5" s="6"/>
      <c r="M5" s="6"/>
      <c r="N5" s="3" t="str">
        <f t="shared" si="1"/>
        <v/>
      </c>
      <c r="O5" s="4">
        <f t="shared" si="2"/>
        <v>189000</v>
      </c>
      <c r="P5" s="4">
        <f t="shared" si="3"/>
        <v>170770</v>
      </c>
      <c r="Q5" s="4">
        <f>E5*VLOOKUP(D5,Produk_Master!$A$2:$I$16,9,FALSE)</f>
        <v>95000</v>
      </c>
      <c r="R5" s="4">
        <f t="shared" si="4"/>
        <v>75770</v>
      </c>
    </row>
    <row r="6">
      <c r="A6" s="3" t="s">
        <v>172</v>
      </c>
      <c r="B6" s="3" t="s">
        <v>173</v>
      </c>
      <c r="C6" s="6">
        <v>46315.0</v>
      </c>
      <c r="D6" s="3" t="s">
        <v>48</v>
      </c>
      <c r="E6" s="3">
        <v>1.0</v>
      </c>
      <c r="F6" s="4">
        <v>139000.0</v>
      </c>
      <c r="G6" s="4">
        <v>0.0</v>
      </c>
      <c r="H6" s="4">
        <v>12510.0</v>
      </c>
      <c r="I6" s="3" t="s">
        <v>159</v>
      </c>
      <c r="J6" s="3" t="s">
        <v>174</v>
      </c>
      <c r="K6" s="3" t="s">
        <v>161</v>
      </c>
      <c r="L6" s="6">
        <v>46317.0</v>
      </c>
      <c r="M6" s="6">
        <v>46320.0</v>
      </c>
      <c r="N6" s="3">
        <f t="shared" si="1"/>
        <v>2</v>
      </c>
      <c r="O6" s="4">
        <f t="shared" si="2"/>
        <v>139000</v>
      </c>
      <c r="P6" s="4">
        <f t="shared" si="3"/>
        <v>126490</v>
      </c>
      <c r="Q6" s="4">
        <f>E6*VLOOKUP(D6,Produk_Master!$A$2:$I$16,9,FALSE)</f>
        <v>68000</v>
      </c>
      <c r="R6" s="4">
        <f t="shared" si="4"/>
        <v>58490</v>
      </c>
    </row>
    <row r="7">
      <c r="A7" s="3" t="s">
        <v>175</v>
      </c>
      <c r="B7" s="3" t="s">
        <v>176</v>
      </c>
      <c r="C7" s="6">
        <v>46300.0</v>
      </c>
      <c r="D7" s="3" t="s">
        <v>30</v>
      </c>
      <c r="E7" s="3">
        <v>2.0</v>
      </c>
      <c r="F7" s="4">
        <v>109000.0</v>
      </c>
      <c r="G7" s="4">
        <v>0.0</v>
      </c>
      <c r="H7" s="4">
        <v>21800.0</v>
      </c>
      <c r="I7" s="3" t="s">
        <v>159</v>
      </c>
      <c r="J7" s="3" t="s">
        <v>164</v>
      </c>
      <c r="K7" s="3" t="s">
        <v>177</v>
      </c>
      <c r="L7" s="6">
        <v>46302.0</v>
      </c>
      <c r="M7" s="6">
        <v>46303.0</v>
      </c>
      <c r="N7" s="3">
        <f t="shared" si="1"/>
        <v>2</v>
      </c>
      <c r="O7" s="4">
        <f t="shared" si="2"/>
        <v>218000</v>
      </c>
      <c r="P7" s="4">
        <f t="shared" si="3"/>
        <v>196200</v>
      </c>
      <c r="Q7" s="4">
        <f>E7*VLOOKUP(D7,Produk_Master!$A$2:$I$16,9,FALSE)</f>
        <v>104000</v>
      </c>
      <c r="R7" s="4">
        <f t="shared" si="4"/>
        <v>92200</v>
      </c>
    </row>
    <row r="8">
      <c r="A8" s="3" t="s">
        <v>178</v>
      </c>
      <c r="B8" s="3" t="s">
        <v>179</v>
      </c>
      <c r="C8" s="6">
        <v>46299.0</v>
      </c>
      <c r="D8" s="3" t="s">
        <v>61</v>
      </c>
      <c r="E8" s="3">
        <v>2.0</v>
      </c>
      <c r="F8" s="4">
        <v>159000.0</v>
      </c>
      <c r="G8" s="4">
        <v>5000.0</v>
      </c>
      <c r="H8" s="4">
        <v>22260.0</v>
      </c>
      <c r="I8" s="3" t="s">
        <v>159</v>
      </c>
      <c r="J8" s="3" t="s">
        <v>180</v>
      </c>
      <c r="K8" s="3" t="s">
        <v>161</v>
      </c>
      <c r="L8" s="6">
        <v>46299.0</v>
      </c>
      <c r="M8" s="6">
        <v>46302.0</v>
      </c>
      <c r="N8" s="3">
        <f t="shared" si="1"/>
        <v>0</v>
      </c>
      <c r="O8" s="4">
        <f t="shared" si="2"/>
        <v>318000</v>
      </c>
      <c r="P8" s="4">
        <f t="shared" si="3"/>
        <v>290740</v>
      </c>
      <c r="Q8" s="4">
        <f>E8*VLOOKUP(D8,Produk_Master!$A$2:$I$16,9,FALSE)</f>
        <v>152000</v>
      </c>
      <c r="R8" s="4">
        <f t="shared" si="4"/>
        <v>138740</v>
      </c>
    </row>
    <row r="9">
      <c r="A9" s="3" t="s">
        <v>181</v>
      </c>
      <c r="B9" s="3" t="s">
        <v>182</v>
      </c>
      <c r="C9" s="6">
        <v>46289.0</v>
      </c>
      <c r="D9" s="3" t="s">
        <v>48</v>
      </c>
      <c r="E9" s="3">
        <v>1.0</v>
      </c>
      <c r="F9" s="4">
        <v>139000.0</v>
      </c>
      <c r="G9" s="4">
        <v>8000.0</v>
      </c>
      <c r="H9" s="4">
        <v>11120.0</v>
      </c>
      <c r="I9" s="3" t="s">
        <v>159</v>
      </c>
      <c r="J9" s="3" t="s">
        <v>180</v>
      </c>
      <c r="K9" s="3" t="s">
        <v>168</v>
      </c>
      <c r="L9" s="6">
        <v>46291.0</v>
      </c>
      <c r="M9" s="6">
        <v>46294.0</v>
      </c>
      <c r="N9" s="3">
        <f t="shared" si="1"/>
        <v>2</v>
      </c>
      <c r="O9" s="4">
        <f t="shared" si="2"/>
        <v>139000</v>
      </c>
      <c r="P9" s="4">
        <f t="shared" si="3"/>
        <v>119880</v>
      </c>
      <c r="Q9" s="4">
        <f>E9*VLOOKUP(D9,Produk_Master!$A$2:$I$16,9,FALSE)</f>
        <v>68000</v>
      </c>
      <c r="R9" s="4">
        <f t="shared" si="4"/>
        <v>51880</v>
      </c>
    </row>
    <row r="10">
      <c r="A10" s="3" t="s">
        <v>183</v>
      </c>
      <c r="B10" s="3" t="s">
        <v>184</v>
      </c>
      <c r="C10" s="6">
        <v>46295.0</v>
      </c>
      <c r="D10" s="3" t="s">
        <v>56</v>
      </c>
      <c r="E10" s="3">
        <v>1.0</v>
      </c>
      <c r="F10" s="4">
        <v>169000.0</v>
      </c>
      <c r="G10" s="4">
        <v>3000.0</v>
      </c>
      <c r="H10" s="4">
        <v>11830.0</v>
      </c>
      <c r="I10" s="3" t="s">
        <v>159</v>
      </c>
      <c r="J10" s="3" t="s">
        <v>185</v>
      </c>
      <c r="K10" s="3" t="s">
        <v>161</v>
      </c>
      <c r="L10" s="6">
        <v>46296.0</v>
      </c>
      <c r="M10" s="6">
        <v>46301.0</v>
      </c>
      <c r="N10" s="3">
        <f t="shared" si="1"/>
        <v>1</v>
      </c>
      <c r="O10" s="4">
        <f t="shared" si="2"/>
        <v>169000</v>
      </c>
      <c r="P10" s="4">
        <f t="shared" si="3"/>
        <v>154170</v>
      </c>
      <c r="Q10" s="4">
        <f>E10*VLOOKUP(D10,Produk_Master!$A$2:$I$16,9,FALSE)</f>
        <v>82000</v>
      </c>
      <c r="R10" s="4">
        <f t="shared" si="4"/>
        <v>72170</v>
      </c>
    </row>
    <row r="11">
      <c r="A11" s="3" t="s">
        <v>186</v>
      </c>
      <c r="B11" s="3" t="s">
        <v>187</v>
      </c>
      <c r="C11" s="6">
        <v>46307.0</v>
      </c>
      <c r="D11" s="3" t="s">
        <v>56</v>
      </c>
      <c r="E11" s="3">
        <v>1.0</v>
      </c>
      <c r="F11" s="4">
        <v>169000.0</v>
      </c>
      <c r="G11" s="4">
        <v>3000.0</v>
      </c>
      <c r="H11" s="4">
        <v>11830.0</v>
      </c>
      <c r="I11" s="3" t="s">
        <v>159</v>
      </c>
      <c r="J11" s="3" t="s">
        <v>185</v>
      </c>
      <c r="K11" s="3" t="s">
        <v>168</v>
      </c>
      <c r="L11" s="6">
        <v>46309.0</v>
      </c>
      <c r="M11" s="6">
        <v>46313.0</v>
      </c>
      <c r="N11" s="3">
        <f t="shared" si="1"/>
        <v>2</v>
      </c>
      <c r="O11" s="4">
        <f t="shared" si="2"/>
        <v>169000</v>
      </c>
      <c r="P11" s="4">
        <f t="shared" si="3"/>
        <v>154170</v>
      </c>
      <c r="Q11" s="4">
        <f>E11*VLOOKUP(D11,Produk_Master!$A$2:$I$16,9,FALSE)</f>
        <v>82000</v>
      </c>
      <c r="R11" s="4">
        <f t="shared" si="4"/>
        <v>72170</v>
      </c>
    </row>
    <row r="12">
      <c r="A12" s="3" t="s">
        <v>188</v>
      </c>
      <c r="B12" s="3" t="s">
        <v>189</v>
      </c>
      <c r="C12" s="6">
        <v>46314.0</v>
      </c>
      <c r="D12" s="3" t="s">
        <v>56</v>
      </c>
      <c r="E12" s="3">
        <v>1.0</v>
      </c>
      <c r="F12" s="4">
        <v>169000.0</v>
      </c>
      <c r="G12" s="4">
        <v>0.0</v>
      </c>
      <c r="H12" s="4">
        <v>11830.0</v>
      </c>
      <c r="I12" s="3" t="s">
        <v>159</v>
      </c>
      <c r="J12" s="3" t="s">
        <v>164</v>
      </c>
      <c r="K12" s="3" t="s">
        <v>190</v>
      </c>
      <c r="L12" s="6">
        <v>46316.0</v>
      </c>
      <c r="M12" s="6">
        <v>46318.0</v>
      </c>
      <c r="N12" s="3">
        <f t="shared" si="1"/>
        <v>2</v>
      </c>
      <c r="O12" s="4">
        <f t="shared" si="2"/>
        <v>169000</v>
      </c>
      <c r="P12" s="4">
        <f t="shared" si="3"/>
        <v>157170</v>
      </c>
      <c r="Q12" s="4">
        <f>E12*VLOOKUP(D12,Produk_Master!$A$2:$I$16,9,FALSE)</f>
        <v>82000</v>
      </c>
      <c r="R12" s="4">
        <f t="shared" si="4"/>
        <v>75170</v>
      </c>
    </row>
    <row r="13">
      <c r="A13" s="3" t="s">
        <v>191</v>
      </c>
      <c r="B13" s="3" t="s">
        <v>192</v>
      </c>
      <c r="C13" s="6">
        <v>46297.0</v>
      </c>
      <c r="D13" s="3" t="s">
        <v>13</v>
      </c>
      <c r="E13" s="3">
        <v>2.0</v>
      </c>
      <c r="F13" s="4">
        <v>89900.0</v>
      </c>
      <c r="G13" s="4">
        <v>3000.0</v>
      </c>
      <c r="H13" s="4">
        <v>12586.0</v>
      </c>
      <c r="I13" s="3" t="s">
        <v>193</v>
      </c>
      <c r="J13" s="3" t="s">
        <v>180</v>
      </c>
      <c r="K13" s="3" t="s">
        <v>177</v>
      </c>
      <c r="L13" s="6">
        <v>46298.0</v>
      </c>
      <c r="M13" s="6">
        <v>46300.0</v>
      </c>
      <c r="N13" s="3">
        <f t="shared" si="1"/>
        <v>1</v>
      </c>
      <c r="O13" s="4">
        <f t="shared" si="2"/>
        <v>179800</v>
      </c>
      <c r="P13" s="4">
        <f t="shared" si="3"/>
        <v>164214</v>
      </c>
      <c r="Q13" s="4">
        <f>E13*VLOOKUP(D13,Produk_Master!$A$2:$I$16,9,FALSE)</f>
        <v>84000</v>
      </c>
      <c r="R13" s="4">
        <f t="shared" si="4"/>
        <v>80214</v>
      </c>
    </row>
    <row r="14">
      <c r="A14" s="3" t="s">
        <v>194</v>
      </c>
      <c r="B14" s="3" t="s">
        <v>195</v>
      </c>
      <c r="C14" s="6">
        <v>46313.0</v>
      </c>
      <c r="D14" s="3" t="s">
        <v>48</v>
      </c>
      <c r="E14" s="3">
        <v>1.0</v>
      </c>
      <c r="F14" s="4">
        <v>139000.0</v>
      </c>
      <c r="G14" s="4">
        <v>3000.0</v>
      </c>
      <c r="H14" s="4">
        <v>12510.0</v>
      </c>
      <c r="I14" s="3" t="s">
        <v>159</v>
      </c>
      <c r="J14" s="3" t="s">
        <v>164</v>
      </c>
      <c r="K14" s="3" t="s">
        <v>168</v>
      </c>
      <c r="L14" s="6">
        <v>46315.0</v>
      </c>
      <c r="M14" s="6">
        <v>46316.0</v>
      </c>
      <c r="N14" s="3">
        <f t="shared" si="1"/>
        <v>2</v>
      </c>
      <c r="O14" s="4">
        <f t="shared" si="2"/>
        <v>139000</v>
      </c>
      <c r="P14" s="4">
        <f t="shared" si="3"/>
        <v>123490</v>
      </c>
      <c r="Q14" s="4">
        <f>E14*VLOOKUP(D14,Produk_Master!$A$2:$I$16,9,FALSE)</f>
        <v>68000</v>
      </c>
      <c r="R14" s="4">
        <f t="shared" si="4"/>
        <v>55490</v>
      </c>
    </row>
    <row r="15">
      <c r="A15" s="3" t="s">
        <v>196</v>
      </c>
      <c r="B15" s="3" t="s">
        <v>197</v>
      </c>
      <c r="C15" s="6">
        <v>46293.0</v>
      </c>
      <c r="D15" s="3" t="s">
        <v>21</v>
      </c>
      <c r="E15" s="3">
        <v>1.0</v>
      </c>
      <c r="F15" s="4">
        <v>79900.0</v>
      </c>
      <c r="G15" s="4">
        <v>3000.0</v>
      </c>
      <c r="H15" s="4">
        <v>5593.0</v>
      </c>
      <c r="I15" s="3" t="s">
        <v>193</v>
      </c>
      <c r="J15" s="3" t="s">
        <v>198</v>
      </c>
      <c r="K15" s="3" t="s">
        <v>199</v>
      </c>
      <c r="L15" s="6">
        <v>46295.0</v>
      </c>
      <c r="M15" s="6">
        <v>46297.0</v>
      </c>
      <c r="N15" s="3">
        <f t="shared" si="1"/>
        <v>2</v>
      </c>
      <c r="O15" s="4">
        <f t="shared" si="2"/>
        <v>79900</v>
      </c>
      <c r="P15" s="4">
        <f t="shared" si="3"/>
        <v>71307</v>
      </c>
      <c r="Q15" s="4">
        <f>E15*VLOOKUP(D15,Produk_Master!$A$2:$I$16,9,FALSE)</f>
        <v>38000</v>
      </c>
      <c r="R15" s="4">
        <f t="shared" si="4"/>
        <v>33307</v>
      </c>
    </row>
    <row r="16">
      <c r="A16" s="3" t="s">
        <v>200</v>
      </c>
      <c r="B16" s="3" t="s">
        <v>201</v>
      </c>
      <c r="C16" s="6">
        <v>46298.0</v>
      </c>
      <c r="D16" s="3" t="s">
        <v>26</v>
      </c>
      <c r="E16" s="3">
        <v>2.0</v>
      </c>
      <c r="F16" s="4">
        <v>95000.0</v>
      </c>
      <c r="G16" s="4">
        <v>8000.0</v>
      </c>
      <c r="H16" s="4">
        <v>15200.0</v>
      </c>
      <c r="I16" s="3" t="s">
        <v>159</v>
      </c>
      <c r="J16" s="3" t="s">
        <v>180</v>
      </c>
      <c r="K16" s="3" t="s">
        <v>161</v>
      </c>
      <c r="L16" s="6">
        <v>46299.0</v>
      </c>
      <c r="M16" s="6">
        <v>46302.0</v>
      </c>
      <c r="N16" s="3">
        <f t="shared" si="1"/>
        <v>1</v>
      </c>
      <c r="O16" s="4">
        <f t="shared" si="2"/>
        <v>190000</v>
      </c>
      <c r="P16" s="4">
        <f t="shared" si="3"/>
        <v>166800</v>
      </c>
      <c r="Q16" s="4">
        <f>E16*VLOOKUP(D16,Produk_Master!$A$2:$I$16,9,FALSE)</f>
        <v>90000</v>
      </c>
      <c r="R16" s="4">
        <f t="shared" si="4"/>
        <v>76800</v>
      </c>
    </row>
    <row r="17">
      <c r="A17" s="3" t="s">
        <v>202</v>
      </c>
      <c r="B17" s="3" t="s">
        <v>203</v>
      </c>
      <c r="C17" s="6">
        <v>46294.0</v>
      </c>
      <c r="D17" s="3" t="s">
        <v>72</v>
      </c>
      <c r="E17" s="3">
        <v>1.0</v>
      </c>
      <c r="F17" s="4">
        <v>115000.0</v>
      </c>
      <c r="G17" s="4">
        <v>0.0</v>
      </c>
      <c r="H17" s="4">
        <v>10350.0</v>
      </c>
      <c r="I17" s="3" t="s">
        <v>159</v>
      </c>
      <c r="J17" s="3" t="s">
        <v>185</v>
      </c>
      <c r="K17" s="3" t="s">
        <v>168</v>
      </c>
      <c r="L17" s="6">
        <v>46294.0</v>
      </c>
      <c r="M17" s="6">
        <v>46295.0</v>
      </c>
      <c r="N17" s="3">
        <f t="shared" si="1"/>
        <v>0</v>
      </c>
      <c r="O17" s="4">
        <f t="shared" si="2"/>
        <v>115000</v>
      </c>
      <c r="P17" s="4">
        <f t="shared" si="3"/>
        <v>104650</v>
      </c>
      <c r="Q17" s="4">
        <f>E17*VLOOKUP(D17,Produk_Master!$A$2:$I$16,9,FALSE)</f>
        <v>55000</v>
      </c>
      <c r="R17" s="4">
        <f t="shared" si="4"/>
        <v>49650</v>
      </c>
    </row>
    <row r="18">
      <c r="A18" s="3" t="s">
        <v>204</v>
      </c>
      <c r="B18" s="3" t="s">
        <v>205</v>
      </c>
      <c r="C18" s="6">
        <v>46308.0</v>
      </c>
      <c r="D18" s="3" t="s">
        <v>13</v>
      </c>
      <c r="E18" s="3">
        <v>1.0</v>
      </c>
      <c r="F18" s="4">
        <v>89900.0</v>
      </c>
      <c r="G18" s="4">
        <v>0.0</v>
      </c>
      <c r="H18" s="4">
        <v>8990.0</v>
      </c>
      <c r="I18" s="3" t="s">
        <v>159</v>
      </c>
      <c r="J18" s="3" t="s">
        <v>171</v>
      </c>
      <c r="K18" s="3" t="s">
        <v>161</v>
      </c>
      <c r="L18" s="6">
        <v>46309.0</v>
      </c>
      <c r="M18" s="6">
        <v>46312.0</v>
      </c>
      <c r="N18" s="3">
        <f t="shared" si="1"/>
        <v>1</v>
      </c>
      <c r="O18" s="4">
        <f t="shared" si="2"/>
        <v>89900</v>
      </c>
      <c r="P18" s="4">
        <f t="shared" si="3"/>
        <v>80910</v>
      </c>
      <c r="Q18" s="4">
        <f>E18*VLOOKUP(D18,Produk_Master!$A$2:$I$16,9,FALSE)</f>
        <v>42000</v>
      </c>
      <c r="R18" s="4">
        <f t="shared" si="4"/>
        <v>38910</v>
      </c>
    </row>
    <row r="19">
      <c r="A19" s="3" t="s">
        <v>206</v>
      </c>
      <c r="B19" s="3" t="s">
        <v>207</v>
      </c>
      <c r="C19" s="6">
        <v>46297.0</v>
      </c>
      <c r="D19" s="3" t="s">
        <v>30</v>
      </c>
      <c r="E19" s="3">
        <v>1.0</v>
      </c>
      <c r="F19" s="4">
        <v>109000.0</v>
      </c>
      <c r="G19" s="4">
        <v>8000.0</v>
      </c>
      <c r="H19" s="4">
        <v>9810.0</v>
      </c>
      <c r="I19" s="3" t="s">
        <v>159</v>
      </c>
      <c r="J19" s="3" t="s">
        <v>185</v>
      </c>
      <c r="K19" s="3" t="s">
        <v>190</v>
      </c>
      <c r="L19" s="6">
        <v>46298.0</v>
      </c>
      <c r="M19" s="6">
        <v>46301.0</v>
      </c>
      <c r="N19" s="3">
        <f t="shared" si="1"/>
        <v>1</v>
      </c>
      <c r="O19" s="4">
        <f t="shared" si="2"/>
        <v>109000</v>
      </c>
      <c r="P19" s="4">
        <f t="shared" si="3"/>
        <v>91190</v>
      </c>
      <c r="Q19" s="4">
        <f>E19*VLOOKUP(D19,Produk_Master!$A$2:$I$16,9,FALSE)</f>
        <v>52000</v>
      </c>
      <c r="R19" s="4">
        <f t="shared" si="4"/>
        <v>39190</v>
      </c>
    </row>
    <row r="20">
      <c r="A20" s="3" t="s">
        <v>208</v>
      </c>
      <c r="B20" s="3" t="s">
        <v>209</v>
      </c>
      <c r="C20" s="6">
        <v>46302.0</v>
      </c>
      <c r="D20" s="3" t="s">
        <v>53</v>
      </c>
      <c r="E20" s="3">
        <v>1.0</v>
      </c>
      <c r="F20" s="4">
        <v>145000.0</v>
      </c>
      <c r="G20" s="4">
        <v>3000.0</v>
      </c>
      <c r="H20" s="4">
        <v>11600.0</v>
      </c>
      <c r="I20" s="3" t="s">
        <v>167</v>
      </c>
      <c r="J20" s="3" t="s">
        <v>164</v>
      </c>
      <c r="K20" s="3" t="s">
        <v>161</v>
      </c>
      <c r="L20" s="6"/>
      <c r="M20" s="6"/>
      <c r="N20" s="3" t="str">
        <f t="shared" si="1"/>
        <v/>
      </c>
      <c r="O20" s="4">
        <f t="shared" si="2"/>
        <v>145000</v>
      </c>
      <c r="P20" s="4">
        <f t="shared" si="3"/>
        <v>130400</v>
      </c>
      <c r="Q20" s="4">
        <f>E20*VLOOKUP(D20,Produk_Master!$A$2:$I$16,9,FALSE)</f>
        <v>72000</v>
      </c>
      <c r="R20" s="4">
        <f t="shared" si="4"/>
        <v>58400</v>
      </c>
    </row>
    <row r="21" ht="15.75" customHeight="1">
      <c r="A21" s="3" t="s">
        <v>210</v>
      </c>
      <c r="B21" s="3" t="s">
        <v>211</v>
      </c>
      <c r="C21" s="6">
        <v>46296.0</v>
      </c>
      <c r="D21" s="3" t="s">
        <v>48</v>
      </c>
      <c r="E21" s="3">
        <v>1.0</v>
      </c>
      <c r="F21" s="4">
        <v>139000.0</v>
      </c>
      <c r="G21" s="4">
        <v>3000.0</v>
      </c>
      <c r="H21" s="4">
        <v>12510.0</v>
      </c>
      <c r="I21" s="3" t="s">
        <v>159</v>
      </c>
      <c r="J21" s="3" t="s">
        <v>198</v>
      </c>
      <c r="K21" s="3" t="s">
        <v>199</v>
      </c>
      <c r="L21" s="6">
        <v>46296.0</v>
      </c>
      <c r="M21" s="6">
        <v>46297.0</v>
      </c>
      <c r="N21" s="3">
        <f t="shared" si="1"/>
        <v>0</v>
      </c>
      <c r="O21" s="4">
        <f t="shared" si="2"/>
        <v>139000</v>
      </c>
      <c r="P21" s="4">
        <f t="shared" si="3"/>
        <v>123490</v>
      </c>
      <c r="Q21" s="4">
        <f>E21*VLOOKUP(D21,Produk_Master!$A$2:$I$16,9,FALSE)</f>
        <v>68000</v>
      </c>
      <c r="R21" s="4">
        <f t="shared" si="4"/>
        <v>55490</v>
      </c>
    </row>
    <row r="22" ht="15.75" customHeight="1">
      <c r="A22" s="3" t="s">
        <v>212</v>
      </c>
      <c r="B22" s="3" t="s">
        <v>213</v>
      </c>
      <c r="C22" s="6">
        <v>46299.0</v>
      </c>
      <c r="D22" s="3" t="s">
        <v>21</v>
      </c>
      <c r="E22" s="3">
        <v>1.0</v>
      </c>
      <c r="F22" s="4">
        <v>79900.0</v>
      </c>
      <c r="G22" s="4">
        <v>5000.0</v>
      </c>
      <c r="H22" s="4">
        <v>5593.0</v>
      </c>
      <c r="I22" s="3" t="s">
        <v>159</v>
      </c>
      <c r="J22" s="3" t="s">
        <v>164</v>
      </c>
      <c r="K22" s="3" t="s">
        <v>199</v>
      </c>
      <c r="L22" s="6">
        <v>46299.0</v>
      </c>
      <c r="M22" s="6">
        <v>46302.0</v>
      </c>
      <c r="N22" s="3">
        <f t="shared" si="1"/>
        <v>0</v>
      </c>
      <c r="O22" s="4">
        <f t="shared" si="2"/>
        <v>79900</v>
      </c>
      <c r="P22" s="4">
        <f t="shared" si="3"/>
        <v>69307</v>
      </c>
      <c r="Q22" s="4">
        <f>E22*VLOOKUP(D22,Produk_Master!$A$2:$I$16,9,FALSE)</f>
        <v>38000</v>
      </c>
      <c r="R22" s="4">
        <f t="shared" si="4"/>
        <v>31307</v>
      </c>
    </row>
    <row r="23" ht="15.75" customHeight="1">
      <c r="A23" s="3" t="s">
        <v>214</v>
      </c>
      <c r="B23" s="3" t="s">
        <v>215</v>
      </c>
      <c r="C23" s="6">
        <v>46312.0</v>
      </c>
      <c r="D23" s="3" t="s">
        <v>30</v>
      </c>
      <c r="E23" s="3">
        <v>1.0</v>
      </c>
      <c r="F23" s="4">
        <v>109000.0</v>
      </c>
      <c r="G23" s="4">
        <v>0.0</v>
      </c>
      <c r="H23" s="4">
        <v>8720.0</v>
      </c>
      <c r="I23" s="3" t="s">
        <v>159</v>
      </c>
      <c r="J23" s="3" t="s">
        <v>180</v>
      </c>
      <c r="K23" s="3" t="s">
        <v>161</v>
      </c>
      <c r="L23" s="6">
        <v>46314.0</v>
      </c>
      <c r="M23" s="6">
        <v>46316.0</v>
      </c>
      <c r="N23" s="3">
        <f t="shared" si="1"/>
        <v>2</v>
      </c>
      <c r="O23" s="4">
        <f t="shared" si="2"/>
        <v>109000</v>
      </c>
      <c r="P23" s="4">
        <f t="shared" si="3"/>
        <v>100280</v>
      </c>
      <c r="Q23" s="4">
        <f>E23*VLOOKUP(D23,Produk_Master!$A$2:$I$16,9,FALSE)</f>
        <v>52000</v>
      </c>
      <c r="R23" s="4">
        <f t="shared" si="4"/>
        <v>48280</v>
      </c>
    </row>
    <row r="24" ht="15.75" customHeight="1">
      <c r="A24" s="3" t="s">
        <v>216</v>
      </c>
      <c r="B24" s="3" t="s">
        <v>217</v>
      </c>
      <c r="C24" s="6">
        <v>46298.0</v>
      </c>
      <c r="D24" s="3" t="s">
        <v>76</v>
      </c>
      <c r="E24" s="3">
        <v>1.0</v>
      </c>
      <c r="F24" s="4">
        <v>99000.0</v>
      </c>
      <c r="G24" s="4">
        <v>8000.0</v>
      </c>
      <c r="H24" s="4">
        <v>7920.0</v>
      </c>
      <c r="I24" s="3" t="s">
        <v>159</v>
      </c>
      <c r="J24" s="3" t="s">
        <v>171</v>
      </c>
      <c r="K24" s="3" t="s">
        <v>161</v>
      </c>
      <c r="L24" s="6">
        <v>46298.0</v>
      </c>
      <c r="M24" s="6">
        <v>46300.0</v>
      </c>
      <c r="N24" s="3">
        <f t="shared" si="1"/>
        <v>0</v>
      </c>
      <c r="O24" s="4">
        <f t="shared" si="2"/>
        <v>99000</v>
      </c>
      <c r="P24" s="4">
        <f t="shared" si="3"/>
        <v>83080</v>
      </c>
      <c r="Q24" s="4">
        <f>E24*VLOOKUP(D24,Produk_Master!$A$2:$I$16,9,FALSE)</f>
        <v>46000</v>
      </c>
      <c r="R24" s="4">
        <f t="shared" si="4"/>
        <v>37080</v>
      </c>
    </row>
    <row r="25" ht="15.75" customHeight="1">
      <c r="A25" s="3" t="s">
        <v>218</v>
      </c>
      <c r="B25" s="3" t="s">
        <v>219</v>
      </c>
      <c r="C25" s="6">
        <v>46294.0</v>
      </c>
      <c r="D25" s="3" t="s">
        <v>21</v>
      </c>
      <c r="E25" s="3">
        <v>1.0</v>
      </c>
      <c r="F25" s="4">
        <v>79900.0</v>
      </c>
      <c r="G25" s="4">
        <v>0.0</v>
      </c>
      <c r="H25" s="4">
        <v>7191.0</v>
      </c>
      <c r="I25" s="3" t="s">
        <v>159</v>
      </c>
      <c r="J25" s="3" t="s">
        <v>220</v>
      </c>
      <c r="K25" s="3" t="s">
        <v>177</v>
      </c>
      <c r="L25" s="6">
        <v>46296.0</v>
      </c>
      <c r="M25" s="6">
        <v>46297.0</v>
      </c>
      <c r="N25" s="3">
        <f t="shared" si="1"/>
        <v>2</v>
      </c>
      <c r="O25" s="4">
        <f t="shared" si="2"/>
        <v>79900</v>
      </c>
      <c r="P25" s="4">
        <f t="shared" si="3"/>
        <v>72709</v>
      </c>
      <c r="Q25" s="4">
        <f>E25*VLOOKUP(D25,Produk_Master!$A$2:$I$16,9,FALSE)</f>
        <v>38000</v>
      </c>
      <c r="R25" s="4">
        <f t="shared" si="4"/>
        <v>34709</v>
      </c>
    </row>
    <row r="26" ht="15.75" customHeight="1">
      <c r="A26" s="3" t="s">
        <v>221</v>
      </c>
      <c r="B26" s="3" t="s">
        <v>222</v>
      </c>
      <c r="C26" s="6">
        <v>46314.0</v>
      </c>
      <c r="D26" s="3" t="s">
        <v>80</v>
      </c>
      <c r="E26" s="3">
        <v>1.0</v>
      </c>
      <c r="F26" s="4">
        <v>179000.0</v>
      </c>
      <c r="G26" s="4">
        <v>5000.0</v>
      </c>
      <c r="H26" s="4">
        <v>14320.0</v>
      </c>
      <c r="I26" s="3" t="s">
        <v>159</v>
      </c>
      <c r="J26" s="3" t="s">
        <v>198</v>
      </c>
      <c r="K26" s="3" t="s">
        <v>177</v>
      </c>
      <c r="L26" s="6">
        <v>46315.0</v>
      </c>
      <c r="M26" s="6">
        <v>46316.0</v>
      </c>
      <c r="N26" s="3">
        <f t="shared" si="1"/>
        <v>1</v>
      </c>
      <c r="O26" s="4">
        <f t="shared" si="2"/>
        <v>179000</v>
      </c>
      <c r="P26" s="4">
        <f t="shared" si="3"/>
        <v>159680</v>
      </c>
      <c r="Q26" s="4">
        <f>E26*VLOOKUP(D26,Produk_Master!$A$2:$I$16,9,FALSE)</f>
        <v>88000</v>
      </c>
      <c r="R26" s="4">
        <f t="shared" si="4"/>
        <v>71680</v>
      </c>
    </row>
    <row r="27" ht="15.75" customHeight="1">
      <c r="A27" s="3" t="s">
        <v>223</v>
      </c>
      <c r="B27" s="3" t="s">
        <v>224</v>
      </c>
      <c r="C27" s="6">
        <v>46306.0</v>
      </c>
      <c r="D27" s="3" t="s">
        <v>80</v>
      </c>
      <c r="E27" s="3">
        <v>1.0</v>
      </c>
      <c r="F27" s="4">
        <v>179000.0</v>
      </c>
      <c r="G27" s="4">
        <v>0.0</v>
      </c>
      <c r="H27" s="4">
        <v>17900.0</v>
      </c>
      <c r="I27" s="3" t="s">
        <v>159</v>
      </c>
      <c r="J27" s="3" t="s">
        <v>185</v>
      </c>
      <c r="K27" s="3" t="s">
        <v>190</v>
      </c>
      <c r="L27" s="6">
        <v>46307.0</v>
      </c>
      <c r="M27" s="6">
        <v>46309.0</v>
      </c>
      <c r="N27" s="3">
        <f t="shared" si="1"/>
        <v>1</v>
      </c>
      <c r="O27" s="4">
        <f t="shared" si="2"/>
        <v>179000</v>
      </c>
      <c r="P27" s="4">
        <f t="shared" si="3"/>
        <v>161100</v>
      </c>
      <c r="Q27" s="4">
        <f>E27*VLOOKUP(D27,Produk_Master!$A$2:$I$16,9,FALSE)</f>
        <v>88000</v>
      </c>
      <c r="R27" s="4">
        <f t="shared" si="4"/>
        <v>73100</v>
      </c>
    </row>
    <row r="28" ht="15.75" customHeight="1">
      <c r="A28" s="3" t="s">
        <v>225</v>
      </c>
      <c r="B28" s="3" t="s">
        <v>226</v>
      </c>
      <c r="C28" s="6">
        <v>46290.0</v>
      </c>
      <c r="D28" s="3" t="s">
        <v>48</v>
      </c>
      <c r="E28" s="3">
        <v>1.0</v>
      </c>
      <c r="F28" s="4">
        <v>139000.0</v>
      </c>
      <c r="G28" s="4">
        <v>8000.0</v>
      </c>
      <c r="H28" s="4">
        <v>9730.0</v>
      </c>
      <c r="I28" s="3" t="s">
        <v>159</v>
      </c>
      <c r="J28" s="3" t="s">
        <v>185</v>
      </c>
      <c r="K28" s="3" t="s">
        <v>190</v>
      </c>
      <c r="L28" s="6">
        <v>46291.0</v>
      </c>
      <c r="M28" s="6">
        <v>46292.0</v>
      </c>
      <c r="N28" s="3">
        <f t="shared" si="1"/>
        <v>1</v>
      </c>
      <c r="O28" s="4">
        <f t="shared" si="2"/>
        <v>139000</v>
      </c>
      <c r="P28" s="4">
        <f t="shared" si="3"/>
        <v>121270</v>
      </c>
      <c r="Q28" s="4">
        <f>E28*VLOOKUP(D28,Produk_Master!$A$2:$I$16,9,FALSE)</f>
        <v>68000</v>
      </c>
      <c r="R28" s="4">
        <f t="shared" si="4"/>
        <v>53270</v>
      </c>
    </row>
    <row r="29" ht="15.75" customHeight="1">
      <c r="A29" s="3" t="s">
        <v>227</v>
      </c>
      <c r="B29" s="3" t="s">
        <v>228</v>
      </c>
      <c r="C29" s="6">
        <v>46312.0</v>
      </c>
      <c r="D29" s="3" t="s">
        <v>53</v>
      </c>
      <c r="E29" s="3">
        <v>1.0</v>
      </c>
      <c r="F29" s="4">
        <v>145000.0</v>
      </c>
      <c r="G29" s="4">
        <v>0.0</v>
      </c>
      <c r="H29" s="4">
        <v>13050.0</v>
      </c>
      <c r="I29" s="3" t="s">
        <v>159</v>
      </c>
      <c r="J29" s="3" t="s">
        <v>180</v>
      </c>
      <c r="K29" s="3" t="s">
        <v>161</v>
      </c>
      <c r="L29" s="6">
        <v>46313.0</v>
      </c>
      <c r="M29" s="6">
        <v>46317.0</v>
      </c>
      <c r="N29" s="3">
        <f t="shared" si="1"/>
        <v>1</v>
      </c>
      <c r="O29" s="4">
        <f t="shared" si="2"/>
        <v>145000</v>
      </c>
      <c r="P29" s="4">
        <f t="shared" si="3"/>
        <v>131950</v>
      </c>
      <c r="Q29" s="4">
        <f>E29*VLOOKUP(D29,Produk_Master!$A$2:$I$16,9,FALSE)</f>
        <v>72000</v>
      </c>
      <c r="R29" s="4">
        <f t="shared" si="4"/>
        <v>59950</v>
      </c>
    </row>
    <row r="30" ht="15.75" customHeight="1">
      <c r="A30" s="3" t="s">
        <v>229</v>
      </c>
      <c r="B30" s="3" t="s">
        <v>230</v>
      </c>
      <c r="C30" s="6">
        <v>46310.0</v>
      </c>
      <c r="D30" s="3" t="s">
        <v>61</v>
      </c>
      <c r="E30" s="3">
        <v>1.0</v>
      </c>
      <c r="F30" s="4">
        <v>159000.0</v>
      </c>
      <c r="G30" s="4">
        <v>3000.0</v>
      </c>
      <c r="H30" s="4">
        <v>11130.0</v>
      </c>
      <c r="I30" s="3" t="s">
        <v>231</v>
      </c>
      <c r="J30" s="3" t="s">
        <v>198</v>
      </c>
      <c r="K30" s="3" t="s">
        <v>161</v>
      </c>
      <c r="L30" s="6"/>
      <c r="M30" s="6"/>
      <c r="N30" s="3" t="str">
        <f t="shared" si="1"/>
        <v/>
      </c>
      <c r="O30" s="4">
        <f t="shared" si="2"/>
        <v>159000</v>
      </c>
      <c r="P30" s="4">
        <f t="shared" si="3"/>
        <v>144870</v>
      </c>
      <c r="Q30" s="4">
        <f>E30*VLOOKUP(D30,Produk_Master!$A$2:$I$16,9,FALSE)</f>
        <v>76000</v>
      </c>
      <c r="R30" s="4">
        <f t="shared" si="4"/>
        <v>68870</v>
      </c>
    </row>
    <row r="31" ht="15.75" customHeight="1">
      <c r="A31" s="3" t="s">
        <v>232</v>
      </c>
      <c r="B31" s="3" t="s">
        <v>233</v>
      </c>
      <c r="C31" s="6">
        <v>46308.0</v>
      </c>
      <c r="D31" s="3" t="s">
        <v>30</v>
      </c>
      <c r="E31" s="3">
        <v>2.0</v>
      </c>
      <c r="F31" s="4">
        <v>109000.0</v>
      </c>
      <c r="G31" s="4">
        <v>5000.0</v>
      </c>
      <c r="H31" s="4">
        <v>19620.0</v>
      </c>
      <c r="I31" s="3" t="s">
        <v>159</v>
      </c>
      <c r="J31" s="3" t="s">
        <v>171</v>
      </c>
      <c r="K31" s="3" t="s">
        <v>190</v>
      </c>
      <c r="L31" s="6">
        <v>46309.0</v>
      </c>
      <c r="M31" s="6">
        <v>46310.0</v>
      </c>
      <c r="N31" s="3">
        <f t="shared" si="1"/>
        <v>1</v>
      </c>
      <c r="O31" s="4">
        <f t="shared" si="2"/>
        <v>218000</v>
      </c>
      <c r="P31" s="4">
        <f t="shared" si="3"/>
        <v>193380</v>
      </c>
      <c r="Q31" s="4">
        <f>E31*VLOOKUP(D31,Produk_Master!$A$2:$I$16,9,FALSE)</f>
        <v>104000</v>
      </c>
      <c r="R31" s="4">
        <f t="shared" si="4"/>
        <v>89380</v>
      </c>
    </row>
    <row r="32" ht="15.75" customHeight="1">
      <c r="A32" s="3" t="s">
        <v>234</v>
      </c>
      <c r="B32" s="3" t="s">
        <v>235</v>
      </c>
      <c r="C32" s="6">
        <v>46315.0</v>
      </c>
      <c r="D32" s="3" t="s">
        <v>56</v>
      </c>
      <c r="E32" s="3">
        <v>2.0</v>
      </c>
      <c r="F32" s="4">
        <v>169000.0</v>
      </c>
      <c r="G32" s="4">
        <v>0.0</v>
      </c>
      <c r="H32" s="4">
        <v>33800.0</v>
      </c>
      <c r="I32" s="3" t="s">
        <v>159</v>
      </c>
      <c r="J32" s="3" t="s">
        <v>171</v>
      </c>
      <c r="K32" s="3" t="s">
        <v>168</v>
      </c>
      <c r="L32" s="6">
        <v>46317.0</v>
      </c>
      <c r="M32" s="6">
        <v>46322.0</v>
      </c>
      <c r="N32" s="3">
        <f t="shared" si="1"/>
        <v>2</v>
      </c>
      <c r="O32" s="4">
        <f t="shared" si="2"/>
        <v>338000</v>
      </c>
      <c r="P32" s="4">
        <f t="shared" si="3"/>
        <v>304200</v>
      </c>
      <c r="Q32" s="4">
        <f>E32*VLOOKUP(D32,Produk_Master!$A$2:$I$16,9,FALSE)</f>
        <v>164000</v>
      </c>
      <c r="R32" s="4">
        <f t="shared" si="4"/>
        <v>140200</v>
      </c>
    </row>
    <row r="33" ht="15.75" customHeight="1">
      <c r="A33" s="3" t="s">
        <v>236</v>
      </c>
      <c r="B33" s="3" t="s">
        <v>237</v>
      </c>
      <c r="C33" s="6">
        <v>46291.0</v>
      </c>
      <c r="D33" s="3" t="s">
        <v>72</v>
      </c>
      <c r="E33" s="3">
        <v>1.0</v>
      </c>
      <c r="F33" s="4">
        <v>115000.0</v>
      </c>
      <c r="G33" s="4">
        <v>3000.0</v>
      </c>
      <c r="H33" s="4">
        <v>8050.0</v>
      </c>
      <c r="I33" s="3" t="s">
        <v>159</v>
      </c>
      <c r="J33" s="3" t="s">
        <v>174</v>
      </c>
      <c r="K33" s="3" t="s">
        <v>161</v>
      </c>
      <c r="L33" s="6">
        <v>46292.0</v>
      </c>
      <c r="M33" s="6">
        <v>46293.0</v>
      </c>
      <c r="N33" s="3">
        <f t="shared" si="1"/>
        <v>1</v>
      </c>
      <c r="O33" s="4">
        <f t="shared" si="2"/>
        <v>115000</v>
      </c>
      <c r="P33" s="4">
        <f t="shared" si="3"/>
        <v>103950</v>
      </c>
      <c r="Q33" s="4">
        <f>E33*VLOOKUP(D33,Produk_Master!$A$2:$I$16,9,FALSE)</f>
        <v>55000</v>
      </c>
      <c r="R33" s="4">
        <f t="shared" si="4"/>
        <v>48950</v>
      </c>
    </row>
    <row r="34" ht="15.75" customHeight="1">
      <c r="A34" s="3" t="s">
        <v>238</v>
      </c>
      <c r="B34" s="3" t="s">
        <v>239</v>
      </c>
      <c r="C34" s="6">
        <v>46296.0</v>
      </c>
      <c r="D34" s="3" t="s">
        <v>21</v>
      </c>
      <c r="E34" s="3">
        <v>1.0</v>
      </c>
      <c r="F34" s="4">
        <v>79900.0</v>
      </c>
      <c r="G34" s="4">
        <v>0.0</v>
      </c>
      <c r="H34" s="4">
        <v>6392.0</v>
      </c>
      <c r="I34" s="3" t="s">
        <v>159</v>
      </c>
      <c r="J34" s="3" t="s">
        <v>185</v>
      </c>
      <c r="K34" s="3" t="s">
        <v>190</v>
      </c>
      <c r="L34" s="6">
        <v>46298.0</v>
      </c>
      <c r="M34" s="6">
        <v>46300.0</v>
      </c>
      <c r="N34" s="3">
        <f t="shared" si="1"/>
        <v>2</v>
      </c>
      <c r="O34" s="4">
        <f t="shared" si="2"/>
        <v>79900</v>
      </c>
      <c r="P34" s="4">
        <f t="shared" si="3"/>
        <v>73508</v>
      </c>
      <c r="Q34" s="4">
        <f>E34*VLOOKUP(D34,Produk_Master!$A$2:$I$16,9,FALSE)</f>
        <v>38000</v>
      </c>
      <c r="R34" s="4">
        <f t="shared" si="4"/>
        <v>35508</v>
      </c>
    </row>
    <row r="35" ht="15.75" customHeight="1">
      <c r="A35" s="3" t="s">
        <v>240</v>
      </c>
      <c r="B35" s="3" t="s">
        <v>241</v>
      </c>
      <c r="C35" s="6">
        <v>46310.0</v>
      </c>
      <c r="D35" s="3" t="s">
        <v>61</v>
      </c>
      <c r="E35" s="3">
        <v>1.0</v>
      </c>
      <c r="F35" s="4">
        <v>159000.0</v>
      </c>
      <c r="G35" s="4">
        <v>8000.0</v>
      </c>
      <c r="H35" s="4">
        <v>11130.0</v>
      </c>
      <c r="I35" s="3" t="s">
        <v>159</v>
      </c>
      <c r="J35" s="3" t="s">
        <v>220</v>
      </c>
      <c r="K35" s="3" t="s">
        <v>177</v>
      </c>
      <c r="L35" s="6">
        <v>46310.0</v>
      </c>
      <c r="M35" s="6">
        <v>46312.0</v>
      </c>
      <c r="N35" s="3">
        <f t="shared" si="1"/>
        <v>0</v>
      </c>
      <c r="O35" s="4">
        <f t="shared" si="2"/>
        <v>159000</v>
      </c>
      <c r="P35" s="4">
        <f t="shared" si="3"/>
        <v>139870</v>
      </c>
      <c r="Q35" s="4">
        <f>E35*VLOOKUP(D35,Produk_Master!$A$2:$I$16,9,FALSE)</f>
        <v>76000</v>
      </c>
      <c r="R35" s="4">
        <f t="shared" si="4"/>
        <v>63870</v>
      </c>
    </row>
    <row r="36" ht="15.75" customHeight="1">
      <c r="A36" s="3" t="s">
        <v>242</v>
      </c>
      <c r="B36" s="3" t="s">
        <v>243</v>
      </c>
      <c r="C36" s="6">
        <v>46305.0</v>
      </c>
      <c r="D36" s="3" t="s">
        <v>76</v>
      </c>
      <c r="E36" s="3">
        <v>1.0</v>
      </c>
      <c r="F36" s="4">
        <v>99000.0</v>
      </c>
      <c r="G36" s="4">
        <v>0.0</v>
      </c>
      <c r="H36" s="4">
        <v>8910.0</v>
      </c>
      <c r="I36" s="3" t="s">
        <v>159</v>
      </c>
      <c r="J36" s="3" t="s">
        <v>174</v>
      </c>
      <c r="K36" s="3" t="s">
        <v>190</v>
      </c>
      <c r="L36" s="6">
        <v>46305.0</v>
      </c>
      <c r="M36" s="6">
        <v>46308.0</v>
      </c>
      <c r="N36" s="3">
        <f t="shared" si="1"/>
        <v>0</v>
      </c>
      <c r="O36" s="4">
        <f t="shared" si="2"/>
        <v>99000</v>
      </c>
      <c r="P36" s="4">
        <f t="shared" si="3"/>
        <v>90090</v>
      </c>
      <c r="Q36" s="4">
        <f>E36*VLOOKUP(D36,Produk_Master!$A$2:$I$16,9,FALSE)</f>
        <v>46000</v>
      </c>
      <c r="R36" s="4">
        <f t="shared" si="4"/>
        <v>44090</v>
      </c>
    </row>
    <row r="37" ht="15.75" customHeight="1">
      <c r="A37" s="3" t="s">
        <v>244</v>
      </c>
      <c r="B37" s="3" t="s">
        <v>245</v>
      </c>
      <c r="C37" s="6">
        <v>46305.0</v>
      </c>
      <c r="D37" s="3" t="s">
        <v>48</v>
      </c>
      <c r="E37" s="3">
        <v>1.0</v>
      </c>
      <c r="F37" s="4">
        <v>139000.0</v>
      </c>
      <c r="G37" s="4">
        <v>3000.0</v>
      </c>
      <c r="H37" s="4">
        <v>13900.0</v>
      </c>
      <c r="I37" s="3" t="s">
        <v>159</v>
      </c>
      <c r="J37" s="3" t="s">
        <v>171</v>
      </c>
      <c r="K37" s="3" t="s">
        <v>199</v>
      </c>
      <c r="L37" s="6">
        <v>46307.0</v>
      </c>
      <c r="M37" s="6">
        <v>46309.0</v>
      </c>
      <c r="N37" s="3">
        <f t="shared" si="1"/>
        <v>2</v>
      </c>
      <c r="O37" s="4">
        <f t="shared" si="2"/>
        <v>139000</v>
      </c>
      <c r="P37" s="4">
        <f t="shared" si="3"/>
        <v>122100</v>
      </c>
      <c r="Q37" s="4">
        <f>E37*VLOOKUP(D37,Produk_Master!$A$2:$I$16,9,FALSE)</f>
        <v>68000</v>
      </c>
      <c r="R37" s="4">
        <f t="shared" si="4"/>
        <v>54100</v>
      </c>
    </row>
    <row r="38" ht="15.75" customHeight="1">
      <c r="A38" s="3" t="s">
        <v>246</v>
      </c>
      <c r="B38" s="3" t="s">
        <v>247</v>
      </c>
      <c r="C38" s="6">
        <v>46303.0</v>
      </c>
      <c r="D38" s="3" t="s">
        <v>26</v>
      </c>
      <c r="E38" s="3">
        <v>1.0</v>
      </c>
      <c r="F38" s="4">
        <v>95000.0</v>
      </c>
      <c r="G38" s="4">
        <v>5000.0</v>
      </c>
      <c r="H38" s="4">
        <v>7600.0</v>
      </c>
      <c r="I38" s="3" t="s">
        <v>159</v>
      </c>
      <c r="J38" s="3" t="s">
        <v>185</v>
      </c>
      <c r="K38" s="3" t="s">
        <v>161</v>
      </c>
      <c r="L38" s="6">
        <v>46305.0</v>
      </c>
      <c r="M38" s="6">
        <v>46308.0</v>
      </c>
      <c r="N38" s="3">
        <f t="shared" si="1"/>
        <v>2</v>
      </c>
      <c r="O38" s="4">
        <f t="shared" si="2"/>
        <v>95000</v>
      </c>
      <c r="P38" s="4">
        <f t="shared" si="3"/>
        <v>82400</v>
      </c>
      <c r="Q38" s="4">
        <f>E38*VLOOKUP(D38,Produk_Master!$A$2:$I$16,9,FALSE)</f>
        <v>45000</v>
      </c>
      <c r="R38" s="4">
        <f t="shared" si="4"/>
        <v>37400</v>
      </c>
    </row>
    <row r="39" ht="15.75" customHeight="1">
      <c r="A39" s="3" t="s">
        <v>248</v>
      </c>
      <c r="B39" s="3" t="s">
        <v>249</v>
      </c>
      <c r="C39" s="6">
        <v>46287.0</v>
      </c>
      <c r="D39" s="3" t="s">
        <v>13</v>
      </c>
      <c r="E39" s="3">
        <v>1.0</v>
      </c>
      <c r="F39" s="4">
        <v>89900.0</v>
      </c>
      <c r="G39" s="4">
        <v>0.0</v>
      </c>
      <c r="H39" s="4">
        <v>8091.0</v>
      </c>
      <c r="I39" s="3" t="s">
        <v>231</v>
      </c>
      <c r="J39" s="3" t="s">
        <v>185</v>
      </c>
      <c r="K39" s="3" t="s">
        <v>190</v>
      </c>
      <c r="L39" s="6">
        <v>46287.0</v>
      </c>
      <c r="M39" s="6"/>
      <c r="N39" s="3">
        <f t="shared" si="1"/>
        <v>0</v>
      </c>
      <c r="O39" s="4">
        <f t="shared" si="2"/>
        <v>89900</v>
      </c>
      <c r="P39" s="4">
        <f t="shared" si="3"/>
        <v>81809</v>
      </c>
      <c r="Q39" s="4">
        <f>E39*VLOOKUP(D39,Produk_Master!$A$2:$I$16,9,FALSE)</f>
        <v>42000</v>
      </c>
      <c r="R39" s="4">
        <f t="shared" si="4"/>
        <v>39809</v>
      </c>
    </row>
    <row r="40" ht="15.75" customHeight="1">
      <c r="A40" s="3" t="s">
        <v>250</v>
      </c>
      <c r="B40" s="3" t="s">
        <v>251</v>
      </c>
      <c r="C40" s="6">
        <v>46292.0</v>
      </c>
      <c r="D40" s="3" t="s">
        <v>48</v>
      </c>
      <c r="E40" s="3">
        <v>2.0</v>
      </c>
      <c r="F40" s="4">
        <v>139000.0</v>
      </c>
      <c r="G40" s="4">
        <v>3000.0</v>
      </c>
      <c r="H40" s="4">
        <v>19460.0</v>
      </c>
      <c r="I40" s="3" t="s">
        <v>159</v>
      </c>
      <c r="J40" s="3" t="s">
        <v>198</v>
      </c>
      <c r="K40" s="3" t="s">
        <v>168</v>
      </c>
      <c r="L40" s="6">
        <v>46293.0</v>
      </c>
      <c r="M40" s="6">
        <v>46294.0</v>
      </c>
      <c r="N40" s="3">
        <f t="shared" si="1"/>
        <v>1</v>
      </c>
      <c r="O40" s="4">
        <f t="shared" si="2"/>
        <v>278000</v>
      </c>
      <c r="P40" s="4">
        <f t="shared" si="3"/>
        <v>255540</v>
      </c>
      <c r="Q40" s="4">
        <f>E40*VLOOKUP(D40,Produk_Master!$A$2:$I$16,9,FALSE)</f>
        <v>136000</v>
      </c>
      <c r="R40" s="4">
        <f t="shared" si="4"/>
        <v>119540</v>
      </c>
    </row>
    <row r="41" ht="15.75" customHeight="1">
      <c r="A41" s="3" t="s">
        <v>252</v>
      </c>
      <c r="B41" s="3" t="s">
        <v>253</v>
      </c>
      <c r="C41" s="6">
        <v>46312.0</v>
      </c>
      <c r="D41" s="3" t="s">
        <v>80</v>
      </c>
      <c r="E41" s="3">
        <v>2.0</v>
      </c>
      <c r="F41" s="4">
        <v>179000.0</v>
      </c>
      <c r="G41" s="4">
        <v>8000.0</v>
      </c>
      <c r="H41" s="4">
        <v>35800.0</v>
      </c>
      <c r="I41" s="3" t="s">
        <v>231</v>
      </c>
      <c r="J41" s="3" t="s">
        <v>180</v>
      </c>
      <c r="K41" s="3" t="s">
        <v>161</v>
      </c>
      <c r="L41" s="6">
        <v>46313.0</v>
      </c>
      <c r="M41" s="6"/>
      <c r="N41" s="3">
        <f t="shared" si="1"/>
        <v>1</v>
      </c>
      <c r="O41" s="4">
        <f t="shared" si="2"/>
        <v>358000</v>
      </c>
      <c r="P41" s="4">
        <f t="shared" si="3"/>
        <v>314200</v>
      </c>
      <c r="Q41" s="4">
        <f>E41*VLOOKUP(D41,Produk_Master!$A$2:$I$16,9,FALSE)</f>
        <v>176000</v>
      </c>
      <c r="R41" s="4">
        <f t="shared" si="4"/>
        <v>138200</v>
      </c>
    </row>
    <row r="42" ht="15.75" customHeight="1">
      <c r="A42" s="3" t="s">
        <v>254</v>
      </c>
      <c r="B42" s="3" t="s">
        <v>255</v>
      </c>
      <c r="C42" s="6">
        <v>46295.0</v>
      </c>
      <c r="D42" s="3" t="s">
        <v>48</v>
      </c>
      <c r="E42" s="3">
        <v>1.0</v>
      </c>
      <c r="F42" s="4">
        <v>139000.0</v>
      </c>
      <c r="G42" s="4">
        <v>8000.0</v>
      </c>
      <c r="H42" s="4">
        <v>9730.0</v>
      </c>
      <c r="I42" s="3" t="s">
        <v>159</v>
      </c>
      <c r="J42" s="3" t="s">
        <v>160</v>
      </c>
      <c r="K42" s="3" t="s">
        <v>168</v>
      </c>
      <c r="L42" s="6">
        <v>46295.0</v>
      </c>
      <c r="M42" s="6">
        <v>46296.0</v>
      </c>
      <c r="N42" s="3">
        <f t="shared" si="1"/>
        <v>0</v>
      </c>
      <c r="O42" s="4">
        <f t="shared" si="2"/>
        <v>139000</v>
      </c>
      <c r="P42" s="4">
        <f t="shared" si="3"/>
        <v>121270</v>
      </c>
      <c r="Q42" s="4">
        <f>E42*VLOOKUP(D42,Produk_Master!$A$2:$I$16,9,FALSE)</f>
        <v>68000</v>
      </c>
      <c r="R42" s="4">
        <f t="shared" si="4"/>
        <v>53270</v>
      </c>
    </row>
    <row r="43" ht="15.75" customHeight="1">
      <c r="A43" s="3" t="s">
        <v>256</v>
      </c>
      <c r="B43" s="3" t="s">
        <v>257</v>
      </c>
      <c r="C43" s="6">
        <v>46313.0</v>
      </c>
      <c r="D43" s="3" t="s">
        <v>13</v>
      </c>
      <c r="E43" s="3">
        <v>1.0</v>
      </c>
      <c r="F43" s="4">
        <v>89900.0</v>
      </c>
      <c r="G43" s="4">
        <v>8000.0</v>
      </c>
      <c r="H43" s="4">
        <v>8990.0</v>
      </c>
      <c r="I43" s="3" t="s">
        <v>159</v>
      </c>
      <c r="J43" s="3" t="s">
        <v>164</v>
      </c>
      <c r="K43" s="3" t="s">
        <v>168</v>
      </c>
      <c r="L43" s="6">
        <v>46313.0</v>
      </c>
      <c r="M43" s="6">
        <v>46316.0</v>
      </c>
      <c r="N43" s="3">
        <f t="shared" si="1"/>
        <v>0</v>
      </c>
      <c r="O43" s="4">
        <f t="shared" si="2"/>
        <v>89900</v>
      </c>
      <c r="P43" s="4">
        <f t="shared" si="3"/>
        <v>72910</v>
      </c>
      <c r="Q43" s="4">
        <f>E43*VLOOKUP(D43,Produk_Master!$A$2:$I$16,9,FALSE)</f>
        <v>42000</v>
      </c>
      <c r="R43" s="4">
        <f t="shared" si="4"/>
        <v>30910</v>
      </c>
    </row>
    <row r="44" ht="15.75" customHeight="1">
      <c r="A44" s="3" t="s">
        <v>258</v>
      </c>
      <c r="B44" s="3" t="s">
        <v>259</v>
      </c>
      <c r="C44" s="6">
        <v>46303.0</v>
      </c>
      <c r="D44" s="3" t="s">
        <v>61</v>
      </c>
      <c r="E44" s="3">
        <v>1.0</v>
      </c>
      <c r="F44" s="4">
        <v>159000.0</v>
      </c>
      <c r="G44" s="4">
        <v>0.0</v>
      </c>
      <c r="H44" s="4">
        <v>14310.0</v>
      </c>
      <c r="I44" s="3" t="s">
        <v>159</v>
      </c>
      <c r="J44" s="3" t="s">
        <v>160</v>
      </c>
      <c r="K44" s="3" t="s">
        <v>199</v>
      </c>
      <c r="L44" s="6">
        <v>46304.0</v>
      </c>
      <c r="M44" s="6">
        <v>46307.0</v>
      </c>
      <c r="N44" s="3">
        <f t="shared" si="1"/>
        <v>1</v>
      </c>
      <c r="O44" s="4">
        <f t="shared" si="2"/>
        <v>159000</v>
      </c>
      <c r="P44" s="4">
        <f t="shared" si="3"/>
        <v>144690</v>
      </c>
      <c r="Q44" s="4">
        <f>E44*VLOOKUP(D44,Produk_Master!$A$2:$I$16,9,FALSE)</f>
        <v>76000</v>
      </c>
      <c r="R44" s="4">
        <f t="shared" si="4"/>
        <v>68690</v>
      </c>
    </row>
    <row r="45" ht="15.75" customHeight="1">
      <c r="A45" s="3" t="s">
        <v>260</v>
      </c>
      <c r="B45" s="3" t="s">
        <v>261</v>
      </c>
      <c r="C45" s="6">
        <v>46310.0</v>
      </c>
      <c r="D45" s="3" t="s">
        <v>76</v>
      </c>
      <c r="E45" s="3">
        <v>1.0</v>
      </c>
      <c r="F45" s="4">
        <v>99000.0</v>
      </c>
      <c r="G45" s="4">
        <v>0.0</v>
      </c>
      <c r="H45" s="4">
        <v>8910.0</v>
      </c>
      <c r="I45" s="3" t="s">
        <v>159</v>
      </c>
      <c r="J45" s="3" t="s">
        <v>198</v>
      </c>
      <c r="K45" s="3" t="s">
        <v>199</v>
      </c>
      <c r="L45" s="6">
        <v>46310.0</v>
      </c>
      <c r="M45" s="6">
        <v>46311.0</v>
      </c>
      <c r="N45" s="3">
        <f t="shared" si="1"/>
        <v>0</v>
      </c>
      <c r="O45" s="4">
        <f t="shared" si="2"/>
        <v>99000</v>
      </c>
      <c r="P45" s="4">
        <f t="shared" si="3"/>
        <v>90090</v>
      </c>
      <c r="Q45" s="4">
        <f>E45*VLOOKUP(D45,Produk_Master!$A$2:$I$16,9,FALSE)</f>
        <v>46000</v>
      </c>
      <c r="R45" s="4">
        <f t="shared" si="4"/>
        <v>44090</v>
      </c>
    </row>
    <row r="46" ht="15.75" customHeight="1">
      <c r="A46" s="3" t="s">
        <v>262</v>
      </c>
      <c r="B46" s="3" t="s">
        <v>263</v>
      </c>
      <c r="C46" s="6">
        <v>46291.0</v>
      </c>
      <c r="D46" s="3" t="s">
        <v>48</v>
      </c>
      <c r="E46" s="3">
        <v>1.0</v>
      </c>
      <c r="F46" s="4">
        <v>139000.0</v>
      </c>
      <c r="G46" s="4">
        <v>0.0</v>
      </c>
      <c r="H46" s="4">
        <v>11120.0</v>
      </c>
      <c r="I46" s="3" t="s">
        <v>159</v>
      </c>
      <c r="J46" s="3" t="s">
        <v>180</v>
      </c>
      <c r="K46" s="3" t="s">
        <v>161</v>
      </c>
      <c r="L46" s="6">
        <v>46292.0</v>
      </c>
      <c r="M46" s="6">
        <v>46295.0</v>
      </c>
      <c r="N46" s="3">
        <f t="shared" si="1"/>
        <v>1</v>
      </c>
      <c r="O46" s="4">
        <f t="shared" si="2"/>
        <v>139000</v>
      </c>
      <c r="P46" s="4">
        <f t="shared" si="3"/>
        <v>127880</v>
      </c>
      <c r="Q46" s="4">
        <f>E46*VLOOKUP(D46,Produk_Master!$A$2:$I$16,9,FALSE)</f>
        <v>68000</v>
      </c>
      <c r="R46" s="4">
        <f t="shared" si="4"/>
        <v>59880</v>
      </c>
    </row>
    <row r="47" ht="15.75" customHeight="1">
      <c r="A47" s="3" t="s">
        <v>264</v>
      </c>
      <c r="B47" s="3" t="s">
        <v>265</v>
      </c>
      <c r="C47" s="6">
        <v>46287.0</v>
      </c>
      <c r="D47" s="3" t="s">
        <v>76</v>
      </c>
      <c r="E47" s="3">
        <v>1.0</v>
      </c>
      <c r="F47" s="4">
        <v>99000.0</v>
      </c>
      <c r="G47" s="4">
        <v>8000.0</v>
      </c>
      <c r="H47" s="4">
        <v>7920.0</v>
      </c>
      <c r="I47" s="3" t="s">
        <v>159</v>
      </c>
      <c r="J47" s="3" t="s">
        <v>164</v>
      </c>
      <c r="K47" s="3" t="s">
        <v>199</v>
      </c>
      <c r="L47" s="6">
        <v>46287.0</v>
      </c>
      <c r="M47" s="6">
        <v>46292.0</v>
      </c>
      <c r="N47" s="3">
        <f t="shared" si="1"/>
        <v>0</v>
      </c>
      <c r="O47" s="4">
        <f t="shared" si="2"/>
        <v>99000</v>
      </c>
      <c r="P47" s="4">
        <f t="shared" si="3"/>
        <v>83080</v>
      </c>
      <c r="Q47" s="4">
        <f>E47*VLOOKUP(D47,Produk_Master!$A$2:$I$16,9,FALSE)</f>
        <v>46000</v>
      </c>
      <c r="R47" s="4">
        <f t="shared" si="4"/>
        <v>37080</v>
      </c>
    </row>
    <row r="48" ht="15.75" customHeight="1">
      <c r="A48" s="3" t="s">
        <v>266</v>
      </c>
      <c r="B48" s="3" t="s">
        <v>267</v>
      </c>
      <c r="C48" s="6">
        <v>46308.0</v>
      </c>
      <c r="D48" s="3" t="s">
        <v>76</v>
      </c>
      <c r="E48" s="3">
        <v>1.0</v>
      </c>
      <c r="F48" s="4">
        <v>99000.0</v>
      </c>
      <c r="G48" s="4">
        <v>0.0</v>
      </c>
      <c r="H48" s="4">
        <v>6930.0</v>
      </c>
      <c r="I48" s="3" t="s">
        <v>231</v>
      </c>
      <c r="J48" s="3" t="s">
        <v>164</v>
      </c>
      <c r="K48" s="3" t="s">
        <v>177</v>
      </c>
      <c r="L48" s="6">
        <v>46308.0</v>
      </c>
      <c r="M48" s="6"/>
      <c r="N48" s="3">
        <f t="shared" si="1"/>
        <v>0</v>
      </c>
      <c r="O48" s="4">
        <f t="shared" si="2"/>
        <v>99000</v>
      </c>
      <c r="P48" s="4">
        <f t="shared" si="3"/>
        <v>92070</v>
      </c>
      <c r="Q48" s="4">
        <f>E48*VLOOKUP(D48,Produk_Master!$A$2:$I$16,9,FALSE)</f>
        <v>46000</v>
      </c>
      <c r="R48" s="4">
        <f t="shared" si="4"/>
        <v>46070</v>
      </c>
    </row>
    <row r="49" ht="15.75" customHeight="1">
      <c r="A49" s="3" t="s">
        <v>268</v>
      </c>
      <c r="B49" s="3" t="s">
        <v>269</v>
      </c>
      <c r="C49" s="6">
        <v>46312.0</v>
      </c>
      <c r="D49" s="3" t="s">
        <v>26</v>
      </c>
      <c r="E49" s="3">
        <v>1.0</v>
      </c>
      <c r="F49" s="4">
        <v>95000.0</v>
      </c>
      <c r="G49" s="4">
        <v>0.0</v>
      </c>
      <c r="H49" s="4">
        <v>6650.0</v>
      </c>
      <c r="I49" s="3" t="s">
        <v>193</v>
      </c>
      <c r="J49" s="3" t="s">
        <v>174</v>
      </c>
      <c r="K49" s="3" t="s">
        <v>161</v>
      </c>
      <c r="L49" s="6">
        <v>46314.0</v>
      </c>
      <c r="M49" s="6">
        <v>46318.0</v>
      </c>
      <c r="N49" s="3">
        <f t="shared" si="1"/>
        <v>2</v>
      </c>
      <c r="O49" s="4">
        <f t="shared" si="2"/>
        <v>95000</v>
      </c>
      <c r="P49" s="4">
        <f t="shared" si="3"/>
        <v>88350</v>
      </c>
      <c r="Q49" s="4">
        <f>E49*VLOOKUP(D49,Produk_Master!$A$2:$I$16,9,FALSE)</f>
        <v>45000</v>
      </c>
      <c r="R49" s="4">
        <f t="shared" si="4"/>
        <v>43350</v>
      </c>
    </row>
    <row r="50" ht="15.75" customHeight="1">
      <c r="A50" s="3" t="s">
        <v>270</v>
      </c>
      <c r="B50" s="3" t="s">
        <v>271</v>
      </c>
      <c r="C50" s="6">
        <v>46305.0</v>
      </c>
      <c r="D50" s="3" t="s">
        <v>56</v>
      </c>
      <c r="E50" s="3">
        <v>2.0</v>
      </c>
      <c r="F50" s="4">
        <v>169000.0</v>
      </c>
      <c r="G50" s="4">
        <v>0.0</v>
      </c>
      <c r="H50" s="4">
        <v>33800.0</v>
      </c>
      <c r="I50" s="3" t="s">
        <v>167</v>
      </c>
      <c r="J50" s="3" t="s">
        <v>171</v>
      </c>
      <c r="K50" s="3" t="s">
        <v>161</v>
      </c>
      <c r="L50" s="6"/>
      <c r="M50" s="6"/>
      <c r="N50" s="3" t="str">
        <f t="shared" si="1"/>
        <v/>
      </c>
      <c r="O50" s="4">
        <f t="shared" si="2"/>
        <v>338000</v>
      </c>
      <c r="P50" s="4">
        <f t="shared" si="3"/>
        <v>304200</v>
      </c>
      <c r="Q50" s="4">
        <f>E50*VLOOKUP(D50,Produk_Master!$A$2:$I$16,9,FALSE)</f>
        <v>164000</v>
      </c>
      <c r="R50" s="4">
        <f t="shared" si="4"/>
        <v>140200</v>
      </c>
    </row>
    <row r="51" ht="15.75" customHeight="1">
      <c r="A51" s="3" t="s">
        <v>272</v>
      </c>
      <c r="B51" s="3" t="s">
        <v>273</v>
      </c>
      <c r="C51" s="6">
        <v>46300.0</v>
      </c>
      <c r="D51" s="3" t="s">
        <v>21</v>
      </c>
      <c r="E51" s="3">
        <v>1.0</v>
      </c>
      <c r="F51" s="4">
        <v>79900.0</v>
      </c>
      <c r="G51" s="4">
        <v>5000.0</v>
      </c>
      <c r="H51" s="4">
        <v>7191.0</v>
      </c>
      <c r="I51" s="3" t="s">
        <v>159</v>
      </c>
      <c r="J51" s="3" t="s">
        <v>164</v>
      </c>
      <c r="K51" s="3" t="s">
        <v>190</v>
      </c>
      <c r="L51" s="6">
        <v>46301.0</v>
      </c>
      <c r="M51" s="6">
        <v>46305.0</v>
      </c>
      <c r="N51" s="3">
        <f t="shared" si="1"/>
        <v>1</v>
      </c>
      <c r="O51" s="4">
        <f t="shared" si="2"/>
        <v>79900</v>
      </c>
      <c r="P51" s="4">
        <f t="shared" si="3"/>
        <v>67709</v>
      </c>
      <c r="Q51" s="4">
        <f>E51*VLOOKUP(D51,Produk_Master!$A$2:$I$16,9,FALSE)</f>
        <v>38000</v>
      </c>
      <c r="R51" s="4">
        <f t="shared" si="4"/>
        <v>29709</v>
      </c>
    </row>
    <row r="52" ht="15.75" customHeight="1">
      <c r="A52" s="3" t="s">
        <v>274</v>
      </c>
      <c r="B52" s="3" t="s">
        <v>275</v>
      </c>
      <c r="C52" s="6">
        <v>46291.0</v>
      </c>
      <c r="D52" s="3" t="s">
        <v>80</v>
      </c>
      <c r="E52" s="3">
        <v>1.0</v>
      </c>
      <c r="F52" s="4">
        <v>179000.0</v>
      </c>
      <c r="G52" s="4">
        <v>0.0</v>
      </c>
      <c r="H52" s="4">
        <v>12530.0</v>
      </c>
      <c r="I52" s="3" t="s">
        <v>159</v>
      </c>
      <c r="J52" s="3" t="s">
        <v>171</v>
      </c>
      <c r="K52" s="3" t="s">
        <v>199</v>
      </c>
      <c r="L52" s="6">
        <v>46291.0</v>
      </c>
      <c r="M52" s="6">
        <v>46294.0</v>
      </c>
      <c r="N52" s="3">
        <f t="shared" si="1"/>
        <v>0</v>
      </c>
      <c r="O52" s="4">
        <f t="shared" si="2"/>
        <v>179000</v>
      </c>
      <c r="P52" s="4">
        <f t="shared" si="3"/>
        <v>166470</v>
      </c>
      <c r="Q52" s="4">
        <f>E52*VLOOKUP(D52,Produk_Master!$A$2:$I$16,9,FALSE)</f>
        <v>88000</v>
      </c>
      <c r="R52" s="4">
        <f t="shared" si="4"/>
        <v>78470</v>
      </c>
    </row>
    <row r="53" ht="15.75" customHeight="1">
      <c r="A53" s="3" t="s">
        <v>276</v>
      </c>
      <c r="B53" s="3" t="s">
        <v>277</v>
      </c>
      <c r="C53" s="6">
        <v>46293.0</v>
      </c>
      <c r="D53" s="3" t="s">
        <v>30</v>
      </c>
      <c r="E53" s="3">
        <v>1.0</v>
      </c>
      <c r="F53" s="4">
        <v>109000.0</v>
      </c>
      <c r="G53" s="4">
        <v>0.0</v>
      </c>
      <c r="H53" s="4">
        <v>9810.0</v>
      </c>
      <c r="I53" s="3" t="s">
        <v>159</v>
      </c>
      <c r="J53" s="3" t="s">
        <v>160</v>
      </c>
      <c r="K53" s="3" t="s">
        <v>190</v>
      </c>
      <c r="L53" s="6">
        <v>46295.0</v>
      </c>
      <c r="M53" s="6">
        <v>46297.0</v>
      </c>
      <c r="N53" s="3">
        <f t="shared" si="1"/>
        <v>2</v>
      </c>
      <c r="O53" s="4">
        <f t="shared" si="2"/>
        <v>109000</v>
      </c>
      <c r="P53" s="4">
        <f t="shared" si="3"/>
        <v>99190</v>
      </c>
      <c r="Q53" s="4">
        <f>E53*VLOOKUP(D53,Produk_Master!$A$2:$I$16,9,FALSE)</f>
        <v>52000</v>
      </c>
      <c r="R53" s="4">
        <f t="shared" si="4"/>
        <v>47190</v>
      </c>
    </row>
    <row r="54" ht="15.75" customHeight="1">
      <c r="A54" s="3" t="s">
        <v>278</v>
      </c>
      <c r="B54" s="3" t="s">
        <v>279</v>
      </c>
      <c r="C54" s="6">
        <v>46287.0</v>
      </c>
      <c r="D54" s="3" t="s">
        <v>61</v>
      </c>
      <c r="E54" s="3">
        <v>2.0</v>
      </c>
      <c r="F54" s="4">
        <v>159000.0</v>
      </c>
      <c r="G54" s="4">
        <v>5000.0</v>
      </c>
      <c r="H54" s="4">
        <v>25440.0</v>
      </c>
      <c r="I54" s="3" t="s">
        <v>159</v>
      </c>
      <c r="J54" s="3" t="s">
        <v>180</v>
      </c>
      <c r="K54" s="3" t="s">
        <v>190</v>
      </c>
      <c r="L54" s="6">
        <v>46288.0</v>
      </c>
      <c r="M54" s="6">
        <v>46291.0</v>
      </c>
      <c r="N54" s="3">
        <f t="shared" si="1"/>
        <v>1</v>
      </c>
      <c r="O54" s="4">
        <f t="shared" si="2"/>
        <v>318000</v>
      </c>
      <c r="P54" s="4">
        <f t="shared" si="3"/>
        <v>287560</v>
      </c>
      <c r="Q54" s="4">
        <f>E54*VLOOKUP(D54,Produk_Master!$A$2:$I$16,9,FALSE)</f>
        <v>152000</v>
      </c>
      <c r="R54" s="4">
        <f t="shared" si="4"/>
        <v>135560</v>
      </c>
    </row>
    <row r="55" ht="15.75" customHeight="1">
      <c r="A55" s="3" t="s">
        <v>280</v>
      </c>
      <c r="B55" s="3" t="s">
        <v>281</v>
      </c>
      <c r="C55" s="6">
        <v>46297.0</v>
      </c>
      <c r="D55" s="3" t="s">
        <v>26</v>
      </c>
      <c r="E55" s="3">
        <v>1.0</v>
      </c>
      <c r="F55" s="4">
        <v>95000.0</v>
      </c>
      <c r="G55" s="4">
        <v>0.0</v>
      </c>
      <c r="H55" s="4">
        <v>7600.0</v>
      </c>
      <c r="I55" s="3" t="s">
        <v>159</v>
      </c>
      <c r="J55" s="3" t="s">
        <v>171</v>
      </c>
      <c r="K55" s="3" t="s">
        <v>199</v>
      </c>
      <c r="L55" s="6">
        <v>46298.0</v>
      </c>
      <c r="M55" s="6">
        <v>46301.0</v>
      </c>
      <c r="N55" s="3">
        <f t="shared" si="1"/>
        <v>1</v>
      </c>
      <c r="O55" s="4">
        <f t="shared" si="2"/>
        <v>95000</v>
      </c>
      <c r="P55" s="4">
        <f t="shared" si="3"/>
        <v>87400</v>
      </c>
      <c r="Q55" s="4">
        <f>E55*VLOOKUP(D55,Produk_Master!$A$2:$I$16,9,FALSE)</f>
        <v>45000</v>
      </c>
      <c r="R55" s="4">
        <f t="shared" si="4"/>
        <v>42400</v>
      </c>
    </row>
    <row r="56" ht="15.75" customHeight="1">
      <c r="A56" s="3" t="s">
        <v>282</v>
      </c>
      <c r="B56" s="3" t="s">
        <v>283</v>
      </c>
      <c r="C56" s="6">
        <v>46291.0</v>
      </c>
      <c r="D56" s="3" t="s">
        <v>43</v>
      </c>
      <c r="E56" s="3">
        <v>1.0</v>
      </c>
      <c r="F56" s="4">
        <v>159000.0</v>
      </c>
      <c r="G56" s="4">
        <v>0.0</v>
      </c>
      <c r="H56" s="4">
        <v>15900.0</v>
      </c>
      <c r="I56" s="3" t="s">
        <v>159</v>
      </c>
      <c r="J56" s="3" t="s">
        <v>160</v>
      </c>
      <c r="K56" s="3" t="s">
        <v>161</v>
      </c>
      <c r="L56" s="6">
        <v>46293.0</v>
      </c>
      <c r="M56" s="6">
        <v>46294.0</v>
      </c>
      <c r="N56" s="3">
        <f t="shared" si="1"/>
        <v>2</v>
      </c>
      <c r="O56" s="4">
        <f t="shared" si="2"/>
        <v>159000</v>
      </c>
      <c r="P56" s="4">
        <f t="shared" si="3"/>
        <v>143100</v>
      </c>
      <c r="Q56" s="4">
        <f>E56*VLOOKUP(D56,Produk_Master!$A$2:$I$16,9,FALSE)</f>
        <v>78000</v>
      </c>
      <c r="R56" s="4">
        <f t="shared" si="4"/>
        <v>65100</v>
      </c>
    </row>
    <row r="57" ht="15.75" customHeight="1">
      <c r="A57" s="3" t="s">
        <v>284</v>
      </c>
      <c r="B57" s="3" t="s">
        <v>197</v>
      </c>
      <c r="C57" s="6">
        <v>46312.0</v>
      </c>
      <c r="D57" s="3" t="s">
        <v>61</v>
      </c>
      <c r="E57" s="3">
        <v>2.0</v>
      </c>
      <c r="F57" s="4">
        <v>159000.0</v>
      </c>
      <c r="G57" s="4">
        <v>3000.0</v>
      </c>
      <c r="H57" s="4">
        <v>28620.0</v>
      </c>
      <c r="I57" s="3" t="s">
        <v>159</v>
      </c>
      <c r="J57" s="3" t="s">
        <v>198</v>
      </c>
      <c r="K57" s="3" t="s">
        <v>199</v>
      </c>
      <c r="L57" s="6">
        <v>46312.0</v>
      </c>
      <c r="M57" s="6">
        <v>46315.0</v>
      </c>
      <c r="N57" s="3">
        <f t="shared" si="1"/>
        <v>0</v>
      </c>
      <c r="O57" s="4">
        <f t="shared" si="2"/>
        <v>318000</v>
      </c>
      <c r="P57" s="4">
        <f t="shared" si="3"/>
        <v>286380</v>
      </c>
      <c r="Q57" s="4">
        <f>E57*VLOOKUP(D57,Produk_Master!$A$2:$I$16,9,FALSE)</f>
        <v>152000</v>
      </c>
      <c r="R57" s="4">
        <f t="shared" si="4"/>
        <v>134380</v>
      </c>
    </row>
    <row r="58" ht="15.75" customHeight="1">
      <c r="A58" s="3" t="s">
        <v>285</v>
      </c>
      <c r="B58" s="3" t="s">
        <v>286</v>
      </c>
      <c r="C58" s="6">
        <v>46301.0</v>
      </c>
      <c r="D58" s="3" t="s">
        <v>61</v>
      </c>
      <c r="E58" s="3">
        <v>1.0</v>
      </c>
      <c r="F58" s="4">
        <v>159000.0</v>
      </c>
      <c r="G58" s="4">
        <v>3000.0</v>
      </c>
      <c r="H58" s="4">
        <v>15900.0</v>
      </c>
      <c r="I58" s="3" t="s">
        <v>159</v>
      </c>
      <c r="J58" s="3" t="s">
        <v>185</v>
      </c>
      <c r="K58" s="3" t="s">
        <v>168</v>
      </c>
      <c r="L58" s="6">
        <v>46303.0</v>
      </c>
      <c r="M58" s="6">
        <v>46306.0</v>
      </c>
      <c r="N58" s="3">
        <f t="shared" si="1"/>
        <v>2</v>
      </c>
      <c r="O58" s="4">
        <f t="shared" si="2"/>
        <v>159000</v>
      </c>
      <c r="P58" s="4">
        <f t="shared" si="3"/>
        <v>140100</v>
      </c>
      <c r="Q58" s="4">
        <f>E58*VLOOKUP(D58,Produk_Master!$A$2:$I$16,9,FALSE)</f>
        <v>76000</v>
      </c>
      <c r="R58" s="4">
        <f t="shared" si="4"/>
        <v>64100</v>
      </c>
    </row>
    <row r="59" ht="15.75" customHeight="1">
      <c r="A59" s="3" t="s">
        <v>287</v>
      </c>
      <c r="B59" s="3" t="s">
        <v>288</v>
      </c>
      <c r="C59" s="6">
        <v>46294.0</v>
      </c>
      <c r="D59" s="3" t="s">
        <v>61</v>
      </c>
      <c r="E59" s="3">
        <v>1.0</v>
      </c>
      <c r="F59" s="4">
        <v>159000.0</v>
      </c>
      <c r="G59" s="4">
        <v>5000.0</v>
      </c>
      <c r="H59" s="4">
        <v>12720.0</v>
      </c>
      <c r="I59" s="3" t="s">
        <v>159</v>
      </c>
      <c r="J59" s="3" t="s">
        <v>171</v>
      </c>
      <c r="K59" s="3" t="s">
        <v>168</v>
      </c>
      <c r="L59" s="6">
        <v>46295.0</v>
      </c>
      <c r="M59" s="6">
        <v>46297.0</v>
      </c>
      <c r="N59" s="3">
        <f t="shared" si="1"/>
        <v>1</v>
      </c>
      <c r="O59" s="4">
        <f t="shared" si="2"/>
        <v>159000</v>
      </c>
      <c r="P59" s="4">
        <f t="shared" si="3"/>
        <v>141280</v>
      </c>
      <c r="Q59" s="4">
        <f>E59*VLOOKUP(D59,Produk_Master!$A$2:$I$16,9,FALSE)</f>
        <v>76000</v>
      </c>
      <c r="R59" s="4">
        <f t="shared" si="4"/>
        <v>65280</v>
      </c>
    </row>
    <row r="60" ht="15.75" customHeight="1">
      <c r="A60" s="3" t="s">
        <v>289</v>
      </c>
      <c r="B60" s="3" t="s">
        <v>290</v>
      </c>
      <c r="C60" s="6">
        <v>46293.0</v>
      </c>
      <c r="D60" s="3" t="s">
        <v>13</v>
      </c>
      <c r="E60" s="3">
        <v>1.0</v>
      </c>
      <c r="F60" s="4">
        <v>89900.0</v>
      </c>
      <c r="G60" s="4">
        <v>8000.0</v>
      </c>
      <c r="H60" s="4">
        <v>8091.0</v>
      </c>
      <c r="I60" s="3" t="s">
        <v>159</v>
      </c>
      <c r="J60" s="3" t="s">
        <v>220</v>
      </c>
      <c r="K60" s="3" t="s">
        <v>190</v>
      </c>
      <c r="L60" s="6">
        <v>46293.0</v>
      </c>
      <c r="M60" s="6">
        <v>46297.0</v>
      </c>
      <c r="N60" s="3">
        <f t="shared" si="1"/>
        <v>0</v>
      </c>
      <c r="O60" s="4">
        <f t="shared" si="2"/>
        <v>89900</v>
      </c>
      <c r="P60" s="4">
        <f t="shared" si="3"/>
        <v>73809</v>
      </c>
      <c r="Q60" s="4">
        <f>E60*VLOOKUP(D60,Produk_Master!$A$2:$I$16,9,FALSE)</f>
        <v>42000</v>
      </c>
      <c r="R60" s="4">
        <f t="shared" si="4"/>
        <v>31809</v>
      </c>
    </row>
    <row r="61" ht="15.75" customHeight="1">
      <c r="A61" s="3" t="s">
        <v>291</v>
      </c>
      <c r="B61" s="3" t="s">
        <v>292</v>
      </c>
      <c r="C61" s="6">
        <v>46299.0</v>
      </c>
      <c r="D61" s="3" t="s">
        <v>13</v>
      </c>
      <c r="E61" s="3">
        <v>1.0</v>
      </c>
      <c r="F61" s="4">
        <v>89900.0</v>
      </c>
      <c r="G61" s="4">
        <v>3000.0</v>
      </c>
      <c r="H61" s="4">
        <v>8990.0</v>
      </c>
      <c r="I61" s="3" t="s">
        <v>159</v>
      </c>
      <c r="J61" s="3" t="s">
        <v>160</v>
      </c>
      <c r="K61" s="3" t="s">
        <v>199</v>
      </c>
      <c r="L61" s="6">
        <v>46299.0</v>
      </c>
      <c r="M61" s="6">
        <v>46301.0</v>
      </c>
      <c r="N61" s="3">
        <f t="shared" si="1"/>
        <v>0</v>
      </c>
      <c r="O61" s="4">
        <f t="shared" si="2"/>
        <v>89900</v>
      </c>
      <c r="P61" s="4">
        <f t="shared" si="3"/>
        <v>77910</v>
      </c>
      <c r="Q61" s="4">
        <f>E61*VLOOKUP(D61,Produk_Master!$A$2:$I$16,9,FALSE)</f>
        <v>42000</v>
      </c>
      <c r="R61" s="4">
        <f t="shared" si="4"/>
        <v>35910</v>
      </c>
    </row>
    <row r="62" ht="15.75" customHeight="1">
      <c r="A62" s="3" t="s">
        <v>293</v>
      </c>
      <c r="B62" s="3" t="s">
        <v>294</v>
      </c>
      <c r="C62" s="6">
        <v>46315.0</v>
      </c>
      <c r="D62" s="3" t="s">
        <v>76</v>
      </c>
      <c r="E62" s="3">
        <v>1.0</v>
      </c>
      <c r="F62" s="4">
        <v>99000.0</v>
      </c>
      <c r="G62" s="4">
        <v>0.0</v>
      </c>
      <c r="H62" s="4">
        <v>7920.0</v>
      </c>
      <c r="I62" s="3" t="s">
        <v>231</v>
      </c>
      <c r="J62" s="3" t="s">
        <v>164</v>
      </c>
      <c r="K62" s="3" t="s">
        <v>190</v>
      </c>
      <c r="L62" s="6"/>
      <c r="M62" s="6"/>
      <c r="N62" s="3" t="str">
        <f t="shared" si="1"/>
        <v/>
      </c>
      <c r="O62" s="4">
        <f t="shared" si="2"/>
        <v>99000</v>
      </c>
      <c r="P62" s="4">
        <f t="shared" si="3"/>
        <v>91080</v>
      </c>
      <c r="Q62" s="4">
        <f>E62*VLOOKUP(D62,Produk_Master!$A$2:$I$16,9,FALSE)</f>
        <v>46000</v>
      </c>
      <c r="R62" s="4">
        <f t="shared" si="4"/>
        <v>45080</v>
      </c>
    </row>
    <row r="63" ht="15.75" customHeight="1">
      <c r="A63" s="3" t="s">
        <v>295</v>
      </c>
      <c r="B63" s="3" t="s">
        <v>215</v>
      </c>
      <c r="C63" s="6">
        <v>46305.0</v>
      </c>
      <c r="D63" s="3" t="s">
        <v>36</v>
      </c>
      <c r="E63" s="3">
        <v>1.0</v>
      </c>
      <c r="F63" s="4">
        <v>189000.0</v>
      </c>
      <c r="G63" s="4">
        <v>0.0</v>
      </c>
      <c r="H63" s="4">
        <v>15120.0</v>
      </c>
      <c r="I63" s="3" t="s">
        <v>159</v>
      </c>
      <c r="J63" s="3" t="s">
        <v>164</v>
      </c>
      <c r="K63" s="3" t="s">
        <v>199</v>
      </c>
      <c r="L63" s="6">
        <v>46305.0</v>
      </c>
      <c r="M63" s="6">
        <v>46308.0</v>
      </c>
      <c r="N63" s="3">
        <f t="shared" si="1"/>
        <v>0</v>
      </c>
      <c r="O63" s="4">
        <f t="shared" si="2"/>
        <v>189000</v>
      </c>
      <c r="P63" s="4">
        <f t="shared" si="3"/>
        <v>173880</v>
      </c>
      <c r="Q63" s="4">
        <f>E63*VLOOKUP(D63,Produk_Master!$A$2:$I$16,9,FALSE)</f>
        <v>95000</v>
      </c>
      <c r="R63" s="4">
        <f t="shared" si="4"/>
        <v>78880</v>
      </c>
    </row>
    <row r="64" ht="15.75" customHeight="1">
      <c r="A64" s="3" t="s">
        <v>296</v>
      </c>
      <c r="B64" s="3" t="s">
        <v>297</v>
      </c>
      <c r="C64" s="6">
        <v>46298.0</v>
      </c>
      <c r="D64" s="3" t="s">
        <v>68</v>
      </c>
      <c r="E64" s="3">
        <v>1.0</v>
      </c>
      <c r="F64" s="4">
        <v>179000.0</v>
      </c>
      <c r="G64" s="4">
        <v>0.0</v>
      </c>
      <c r="H64" s="4">
        <v>12530.0</v>
      </c>
      <c r="I64" s="3" t="s">
        <v>159</v>
      </c>
      <c r="J64" s="3" t="s">
        <v>160</v>
      </c>
      <c r="K64" s="3" t="s">
        <v>190</v>
      </c>
      <c r="L64" s="6">
        <v>46300.0</v>
      </c>
      <c r="M64" s="6">
        <v>46303.0</v>
      </c>
      <c r="N64" s="3">
        <f t="shared" si="1"/>
        <v>2</v>
      </c>
      <c r="O64" s="4">
        <f t="shared" si="2"/>
        <v>179000</v>
      </c>
      <c r="P64" s="4">
        <f t="shared" si="3"/>
        <v>166470</v>
      </c>
      <c r="Q64" s="4">
        <f>E64*VLOOKUP(D64,Produk_Master!$A$2:$I$16,9,FALSE)</f>
        <v>85000</v>
      </c>
      <c r="R64" s="4">
        <f t="shared" si="4"/>
        <v>81470</v>
      </c>
    </row>
    <row r="65" ht="15.75" customHeight="1">
      <c r="A65" s="3" t="s">
        <v>298</v>
      </c>
      <c r="B65" s="3" t="s">
        <v>299</v>
      </c>
      <c r="C65" s="6">
        <v>46287.0</v>
      </c>
      <c r="D65" s="3" t="s">
        <v>43</v>
      </c>
      <c r="E65" s="3">
        <v>1.0</v>
      </c>
      <c r="F65" s="4">
        <v>159000.0</v>
      </c>
      <c r="G65" s="4">
        <v>0.0</v>
      </c>
      <c r="H65" s="4">
        <v>11130.0</v>
      </c>
      <c r="I65" s="3" t="s">
        <v>159</v>
      </c>
      <c r="J65" s="3" t="s">
        <v>174</v>
      </c>
      <c r="K65" s="3" t="s">
        <v>161</v>
      </c>
      <c r="L65" s="6">
        <v>46287.0</v>
      </c>
      <c r="M65" s="6">
        <v>46292.0</v>
      </c>
      <c r="N65" s="3">
        <f t="shared" si="1"/>
        <v>0</v>
      </c>
      <c r="O65" s="4">
        <f t="shared" si="2"/>
        <v>159000</v>
      </c>
      <c r="P65" s="4">
        <f t="shared" si="3"/>
        <v>147870</v>
      </c>
      <c r="Q65" s="4">
        <f>E65*VLOOKUP(D65,Produk_Master!$A$2:$I$16,9,FALSE)</f>
        <v>78000</v>
      </c>
      <c r="R65" s="4">
        <f t="shared" si="4"/>
        <v>69870</v>
      </c>
    </row>
    <row r="66" ht="15.75" customHeight="1">
      <c r="A66" s="3" t="s">
        <v>300</v>
      </c>
      <c r="B66" s="3" t="s">
        <v>301</v>
      </c>
      <c r="C66" s="6">
        <v>46294.0</v>
      </c>
      <c r="D66" s="3" t="s">
        <v>61</v>
      </c>
      <c r="E66" s="3">
        <v>1.0</v>
      </c>
      <c r="F66" s="4">
        <v>159000.0</v>
      </c>
      <c r="G66" s="4">
        <v>3000.0</v>
      </c>
      <c r="H66" s="4">
        <v>15900.0</v>
      </c>
      <c r="I66" s="3" t="s">
        <v>159</v>
      </c>
      <c r="J66" s="3" t="s">
        <v>185</v>
      </c>
      <c r="K66" s="3" t="s">
        <v>161</v>
      </c>
      <c r="L66" s="6">
        <v>46296.0</v>
      </c>
      <c r="M66" s="6">
        <v>46299.0</v>
      </c>
      <c r="N66" s="3">
        <f t="shared" si="1"/>
        <v>2</v>
      </c>
      <c r="O66" s="4">
        <f t="shared" si="2"/>
        <v>159000</v>
      </c>
      <c r="P66" s="4">
        <f t="shared" si="3"/>
        <v>140100</v>
      </c>
      <c r="Q66" s="4">
        <f>E66*VLOOKUP(D66,Produk_Master!$A$2:$I$16,9,FALSE)</f>
        <v>76000</v>
      </c>
      <c r="R66" s="4">
        <f t="shared" si="4"/>
        <v>64100</v>
      </c>
    </row>
    <row r="67" ht="15.75" customHeight="1">
      <c r="A67" s="3" t="s">
        <v>302</v>
      </c>
      <c r="B67" s="3" t="s">
        <v>303</v>
      </c>
      <c r="C67" s="6">
        <v>46312.0</v>
      </c>
      <c r="D67" s="3" t="s">
        <v>76</v>
      </c>
      <c r="E67" s="3">
        <v>1.0</v>
      </c>
      <c r="F67" s="4">
        <v>99000.0</v>
      </c>
      <c r="G67" s="4">
        <v>0.0</v>
      </c>
      <c r="H67" s="4">
        <v>9900.0</v>
      </c>
      <c r="I67" s="3" t="s">
        <v>159</v>
      </c>
      <c r="J67" s="3" t="s">
        <v>160</v>
      </c>
      <c r="K67" s="3" t="s">
        <v>199</v>
      </c>
      <c r="L67" s="6">
        <v>46312.0</v>
      </c>
      <c r="M67" s="6">
        <v>46316.0</v>
      </c>
      <c r="N67" s="3">
        <f t="shared" si="1"/>
        <v>0</v>
      </c>
      <c r="O67" s="4">
        <f t="shared" si="2"/>
        <v>99000</v>
      </c>
      <c r="P67" s="4">
        <f t="shared" si="3"/>
        <v>89100</v>
      </c>
      <c r="Q67" s="4">
        <f>E67*VLOOKUP(D67,Produk_Master!$A$2:$I$16,9,FALSE)</f>
        <v>46000</v>
      </c>
      <c r="R67" s="4">
        <f t="shared" si="4"/>
        <v>43100</v>
      </c>
    </row>
    <row r="68" ht="15.75" customHeight="1">
      <c r="A68" s="3" t="s">
        <v>304</v>
      </c>
      <c r="B68" s="3" t="s">
        <v>305</v>
      </c>
      <c r="C68" s="6">
        <v>46291.0</v>
      </c>
      <c r="D68" s="3" t="s">
        <v>21</v>
      </c>
      <c r="E68" s="3">
        <v>1.0</v>
      </c>
      <c r="F68" s="4">
        <v>79900.0</v>
      </c>
      <c r="G68" s="4">
        <v>0.0</v>
      </c>
      <c r="H68" s="4">
        <v>7990.0</v>
      </c>
      <c r="I68" s="3" t="s">
        <v>159</v>
      </c>
      <c r="J68" s="3" t="s">
        <v>220</v>
      </c>
      <c r="K68" s="3" t="s">
        <v>161</v>
      </c>
      <c r="L68" s="6">
        <v>46291.0</v>
      </c>
      <c r="M68" s="6">
        <v>46293.0</v>
      </c>
      <c r="N68" s="3">
        <f t="shared" si="1"/>
        <v>0</v>
      </c>
      <c r="O68" s="4">
        <f t="shared" si="2"/>
        <v>79900</v>
      </c>
      <c r="P68" s="4">
        <f t="shared" si="3"/>
        <v>71910</v>
      </c>
      <c r="Q68" s="4">
        <f>E68*VLOOKUP(D68,Produk_Master!$A$2:$I$16,9,FALSE)</f>
        <v>38000</v>
      </c>
      <c r="R68" s="4">
        <f t="shared" si="4"/>
        <v>33910</v>
      </c>
    </row>
    <row r="69" ht="15.75" customHeight="1">
      <c r="A69" s="3" t="s">
        <v>306</v>
      </c>
      <c r="B69" s="3" t="s">
        <v>307</v>
      </c>
      <c r="C69" s="6">
        <v>46300.0</v>
      </c>
      <c r="D69" s="3" t="s">
        <v>26</v>
      </c>
      <c r="E69" s="3">
        <v>2.0</v>
      </c>
      <c r="F69" s="4">
        <v>95000.0</v>
      </c>
      <c r="G69" s="4">
        <v>0.0</v>
      </c>
      <c r="H69" s="4">
        <v>17100.0</v>
      </c>
      <c r="I69" s="3" t="s">
        <v>193</v>
      </c>
      <c r="J69" s="3" t="s">
        <v>171</v>
      </c>
      <c r="K69" s="3" t="s">
        <v>177</v>
      </c>
      <c r="L69" s="6">
        <v>46301.0</v>
      </c>
      <c r="M69" s="6">
        <v>46302.0</v>
      </c>
      <c r="N69" s="3">
        <f t="shared" si="1"/>
        <v>1</v>
      </c>
      <c r="O69" s="4">
        <f t="shared" si="2"/>
        <v>190000</v>
      </c>
      <c r="P69" s="4">
        <f t="shared" si="3"/>
        <v>172900</v>
      </c>
      <c r="Q69" s="4">
        <f>E69*VLOOKUP(D69,Produk_Master!$A$2:$I$16,9,FALSE)</f>
        <v>90000</v>
      </c>
      <c r="R69" s="4">
        <f t="shared" si="4"/>
        <v>82900</v>
      </c>
    </row>
    <row r="70" ht="15.75" customHeight="1">
      <c r="A70" s="3" t="s">
        <v>308</v>
      </c>
      <c r="B70" s="3" t="s">
        <v>207</v>
      </c>
      <c r="C70" s="6">
        <v>46312.0</v>
      </c>
      <c r="D70" s="3" t="s">
        <v>56</v>
      </c>
      <c r="E70" s="3">
        <v>1.0</v>
      </c>
      <c r="F70" s="4">
        <v>169000.0</v>
      </c>
      <c r="G70" s="4">
        <v>0.0</v>
      </c>
      <c r="H70" s="4">
        <v>13520.0</v>
      </c>
      <c r="I70" s="3" t="s">
        <v>159</v>
      </c>
      <c r="J70" s="3" t="s">
        <v>174</v>
      </c>
      <c r="K70" s="3" t="s">
        <v>161</v>
      </c>
      <c r="L70" s="6">
        <v>46313.0</v>
      </c>
      <c r="M70" s="6">
        <v>46314.0</v>
      </c>
      <c r="N70" s="3">
        <f t="shared" si="1"/>
        <v>1</v>
      </c>
      <c r="O70" s="4">
        <f t="shared" si="2"/>
        <v>169000</v>
      </c>
      <c r="P70" s="4">
        <f t="shared" si="3"/>
        <v>155480</v>
      </c>
      <c r="Q70" s="4">
        <f>E70*VLOOKUP(D70,Produk_Master!$A$2:$I$16,9,FALSE)</f>
        <v>82000</v>
      </c>
      <c r="R70" s="4">
        <f t="shared" si="4"/>
        <v>73480</v>
      </c>
    </row>
    <row r="71" ht="15.75" customHeight="1">
      <c r="A71" s="3" t="s">
        <v>309</v>
      </c>
      <c r="B71" s="3" t="s">
        <v>310</v>
      </c>
      <c r="C71" s="6">
        <v>46313.0</v>
      </c>
      <c r="D71" s="3" t="s">
        <v>76</v>
      </c>
      <c r="E71" s="3">
        <v>1.0</v>
      </c>
      <c r="F71" s="4">
        <v>99000.0</v>
      </c>
      <c r="G71" s="4">
        <v>8000.0</v>
      </c>
      <c r="H71" s="4">
        <v>6930.0</v>
      </c>
      <c r="I71" s="3" t="s">
        <v>159</v>
      </c>
      <c r="J71" s="3" t="s">
        <v>174</v>
      </c>
      <c r="K71" s="3" t="s">
        <v>199</v>
      </c>
      <c r="L71" s="6">
        <v>46313.0</v>
      </c>
      <c r="M71" s="6">
        <v>46318.0</v>
      </c>
      <c r="N71" s="3">
        <f t="shared" si="1"/>
        <v>0</v>
      </c>
      <c r="O71" s="4">
        <f t="shared" si="2"/>
        <v>99000</v>
      </c>
      <c r="P71" s="4">
        <f t="shared" si="3"/>
        <v>84070</v>
      </c>
      <c r="Q71" s="4">
        <f>E71*VLOOKUP(D71,Produk_Master!$A$2:$I$16,9,FALSE)</f>
        <v>46000</v>
      </c>
      <c r="R71" s="4">
        <f t="shared" si="4"/>
        <v>38070</v>
      </c>
    </row>
    <row r="72" ht="15.75" customHeight="1">
      <c r="A72" s="3" t="s">
        <v>311</v>
      </c>
      <c r="B72" s="3" t="s">
        <v>312</v>
      </c>
      <c r="C72" s="6">
        <v>46288.0</v>
      </c>
      <c r="D72" s="3" t="s">
        <v>68</v>
      </c>
      <c r="E72" s="3">
        <v>1.0</v>
      </c>
      <c r="F72" s="4">
        <v>179000.0</v>
      </c>
      <c r="G72" s="4">
        <v>0.0</v>
      </c>
      <c r="H72" s="4">
        <v>17900.0</v>
      </c>
      <c r="I72" s="3" t="s">
        <v>159</v>
      </c>
      <c r="J72" s="3" t="s">
        <v>171</v>
      </c>
      <c r="K72" s="3" t="s">
        <v>168</v>
      </c>
      <c r="L72" s="6">
        <v>46289.0</v>
      </c>
      <c r="M72" s="6">
        <v>46291.0</v>
      </c>
      <c r="N72" s="3">
        <f t="shared" si="1"/>
        <v>1</v>
      </c>
      <c r="O72" s="4">
        <f t="shared" si="2"/>
        <v>179000</v>
      </c>
      <c r="P72" s="4">
        <f t="shared" si="3"/>
        <v>161100</v>
      </c>
      <c r="Q72" s="4">
        <f>E72*VLOOKUP(D72,Produk_Master!$A$2:$I$16,9,FALSE)</f>
        <v>85000</v>
      </c>
      <c r="R72" s="4">
        <f t="shared" si="4"/>
        <v>76100</v>
      </c>
    </row>
    <row r="73" ht="15.75" customHeight="1">
      <c r="A73" s="3" t="s">
        <v>313</v>
      </c>
      <c r="B73" s="3" t="s">
        <v>314</v>
      </c>
      <c r="C73" s="6">
        <v>46314.0</v>
      </c>
      <c r="D73" s="3" t="s">
        <v>21</v>
      </c>
      <c r="E73" s="3">
        <v>1.0</v>
      </c>
      <c r="F73" s="4">
        <v>79900.0</v>
      </c>
      <c r="G73" s="4">
        <v>8000.0</v>
      </c>
      <c r="H73" s="4">
        <v>6392.0</v>
      </c>
      <c r="I73" s="3" t="s">
        <v>231</v>
      </c>
      <c r="J73" s="3" t="s">
        <v>198</v>
      </c>
      <c r="K73" s="3" t="s">
        <v>161</v>
      </c>
      <c r="L73" s="6"/>
      <c r="M73" s="6"/>
      <c r="N73" s="3" t="str">
        <f t="shared" si="1"/>
        <v/>
      </c>
      <c r="O73" s="4">
        <f t="shared" si="2"/>
        <v>79900</v>
      </c>
      <c r="P73" s="4">
        <f t="shared" si="3"/>
        <v>65508</v>
      </c>
      <c r="Q73" s="4">
        <f>E73*VLOOKUP(D73,Produk_Master!$A$2:$I$16,9,FALSE)</f>
        <v>38000</v>
      </c>
      <c r="R73" s="4">
        <f t="shared" si="4"/>
        <v>27508</v>
      </c>
    </row>
    <row r="74" ht="15.75" customHeight="1">
      <c r="A74" s="3" t="s">
        <v>315</v>
      </c>
      <c r="B74" s="3" t="s">
        <v>297</v>
      </c>
      <c r="C74" s="6">
        <v>46313.0</v>
      </c>
      <c r="D74" s="3" t="s">
        <v>36</v>
      </c>
      <c r="E74" s="3">
        <v>1.0</v>
      </c>
      <c r="F74" s="4">
        <v>189000.0</v>
      </c>
      <c r="G74" s="4">
        <v>8000.0</v>
      </c>
      <c r="H74" s="4">
        <v>17010.0</v>
      </c>
      <c r="I74" s="3" t="s">
        <v>167</v>
      </c>
      <c r="J74" s="3" t="s">
        <v>198</v>
      </c>
      <c r="K74" s="3" t="s">
        <v>199</v>
      </c>
      <c r="L74" s="6"/>
      <c r="M74" s="6"/>
      <c r="N74" s="3" t="str">
        <f t="shared" si="1"/>
        <v/>
      </c>
      <c r="O74" s="4">
        <f t="shared" si="2"/>
        <v>189000</v>
      </c>
      <c r="P74" s="4">
        <f t="shared" si="3"/>
        <v>163990</v>
      </c>
      <c r="Q74" s="4">
        <f>E74*VLOOKUP(D74,Produk_Master!$A$2:$I$16,9,FALSE)</f>
        <v>95000</v>
      </c>
      <c r="R74" s="4">
        <f t="shared" si="4"/>
        <v>68990</v>
      </c>
    </row>
    <row r="75" ht="15.75" customHeight="1">
      <c r="A75" s="3" t="s">
        <v>316</v>
      </c>
      <c r="B75" s="3" t="s">
        <v>317</v>
      </c>
      <c r="C75" s="6">
        <v>46294.0</v>
      </c>
      <c r="D75" s="3" t="s">
        <v>80</v>
      </c>
      <c r="E75" s="3">
        <v>2.0</v>
      </c>
      <c r="F75" s="4">
        <v>179000.0</v>
      </c>
      <c r="G75" s="4">
        <v>8000.0</v>
      </c>
      <c r="H75" s="4">
        <v>32220.0</v>
      </c>
      <c r="I75" s="3" t="s">
        <v>231</v>
      </c>
      <c r="J75" s="3" t="s">
        <v>198</v>
      </c>
      <c r="K75" s="3" t="s">
        <v>199</v>
      </c>
      <c r="L75" s="6">
        <v>46295.0</v>
      </c>
      <c r="M75" s="6"/>
      <c r="N75" s="3">
        <f t="shared" si="1"/>
        <v>1</v>
      </c>
      <c r="O75" s="4">
        <f t="shared" si="2"/>
        <v>358000</v>
      </c>
      <c r="P75" s="4">
        <f t="shared" si="3"/>
        <v>317780</v>
      </c>
      <c r="Q75" s="4">
        <f>E75*VLOOKUP(D75,Produk_Master!$A$2:$I$16,9,FALSE)</f>
        <v>176000</v>
      </c>
      <c r="R75" s="4">
        <f t="shared" si="4"/>
        <v>141780</v>
      </c>
    </row>
    <row r="76" ht="15.75" customHeight="1">
      <c r="A76" s="3" t="s">
        <v>318</v>
      </c>
      <c r="B76" s="3" t="s">
        <v>319</v>
      </c>
      <c r="C76" s="6">
        <v>46302.0</v>
      </c>
      <c r="D76" s="3" t="s">
        <v>30</v>
      </c>
      <c r="E76" s="3">
        <v>1.0</v>
      </c>
      <c r="F76" s="4">
        <v>109000.0</v>
      </c>
      <c r="G76" s="4">
        <v>0.0</v>
      </c>
      <c r="H76" s="4">
        <v>9810.0</v>
      </c>
      <c r="I76" s="3" t="s">
        <v>193</v>
      </c>
      <c r="J76" s="3" t="s">
        <v>198</v>
      </c>
      <c r="K76" s="3" t="s">
        <v>199</v>
      </c>
      <c r="L76" s="6">
        <v>46303.0</v>
      </c>
      <c r="M76" s="6">
        <v>46305.0</v>
      </c>
      <c r="N76" s="3">
        <f t="shared" si="1"/>
        <v>1</v>
      </c>
      <c r="O76" s="4">
        <f t="shared" si="2"/>
        <v>109000</v>
      </c>
      <c r="P76" s="4">
        <f t="shared" si="3"/>
        <v>99190</v>
      </c>
      <c r="Q76" s="4">
        <f>E76*VLOOKUP(D76,Produk_Master!$A$2:$I$16,9,FALSE)</f>
        <v>52000</v>
      </c>
      <c r="R76" s="4">
        <f t="shared" si="4"/>
        <v>47190</v>
      </c>
    </row>
    <row r="77" ht="15.75" customHeight="1">
      <c r="A77" s="3" t="s">
        <v>320</v>
      </c>
      <c r="B77" s="3" t="s">
        <v>321</v>
      </c>
      <c r="C77" s="6">
        <v>46291.0</v>
      </c>
      <c r="D77" s="3" t="s">
        <v>61</v>
      </c>
      <c r="E77" s="3">
        <v>1.0</v>
      </c>
      <c r="F77" s="4">
        <v>159000.0</v>
      </c>
      <c r="G77" s="4">
        <v>3000.0</v>
      </c>
      <c r="H77" s="4">
        <v>14310.0</v>
      </c>
      <c r="I77" s="3" t="s">
        <v>231</v>
      </c>
      <c r="J77" s="3" t="s">
        <v>164</v>
      </c>
      <c r="K77" s="3" t="s">
        <v>199</v>
      </c>
      <c r="L77" s="6">
        <v>46291.0</v>
      </c>
      <c r="M77" s="6"/>
      <c r="N77" s="3">
        <f t="shared" si="1"/>
        <v>0</v>
      </c>
      <c r="O77" s="4">
        <f t="shared" si="2"/>
        <v>159000</v>
      </c>
      <c r="P77" s="4">
        <f t="shared" si="3"/>
        <v>141690</v>
      </c>
      <c r="Q77" s="4">
        <f>E77*VLOOKUP(D77,Produk_Master!$A$2:$I$16,9,FALSE)</f>
        <v>76000</v>
      </c>
      <c r="R77" s="4">
        <f t="shared" si="4"/>
        <v>65690</v>
      </c>
    </row>
    <row r="78" ht="15.75" customHeight="1">
      <c r="A78" s="3" t="s">
        <v>322</v>
      </c>
      <c r="B78" s="3" t="s">
        <v>323</v>
      </c>
      <c r="C78" s="6">
        <v>46288.0</v>
      </c>
      <c r="D78" s="3" t="s">
        <v>43</v>
      </c>
      <c r="E78" s="3">
        <v>1.0</v>
      </c>
      <c r="F78" s="4">
        <v>159000.0</v>
      </c>
      <c r="G78" s="4">
        <v>5000.0</v>
      </c>
      <c r="H78" s="4">
        <v>15900.0</v>
      </c>
      <c r="I78" s="3" t="s">
        <v>159</v>
      </c>
      <c r="J78" s="3" t="s">
        <v>164</v>
      </c>
      <c r="K78" s="3" t="s">
        <v>177</v>
      </c>
      <c r="L78" s="6">
        <v>46289.0</v>
      </c>
      <c r="M78" s="6">
        <v>46293.0</v>
      </c>
      <c r="N78" s="3">
        <f t="shared" si="1"/>
        <v>1</v>
      </c>
      <c r="O78" s="4">
        <f t="shared" si="2"/>
        <v>159000</v>
      </c>
      <c r="P78" s="4">
        <f t="shared" si="3"/>
        <v>138100</v>
      </c>
      <c r="Q78" s="4">
        <f>E78*VLOOKUP(D78,Produk_Master!$A$2:$I$16,9,FALSE)</f>
        <v>78000</v>
      </c>
      <c r="R78" s="4">
        <f t="shared" si="4"/>
        <v>60100</v>
      </c>
    </row>
    <row r="79" ht="15.75" customHeight="1">
      <c r="A79" s="3" t="s">
        <v>324</v>
      </c>
      <c r="B79" s="3" t="s">
        <v>325</v>
      </c>
      <c r="C79" s="6">
        <v>46311.0</v>
      </c>
      <c r="D79" s="3" t="s">
        <v>72</v>
      </c>
      <c r="E79" s="3">
        <v>1.0</v>
      </c>
      <c r="F79" s="4">
        <v>115000.0</v>
      </c>
      <c r="G79" s="4">
        <v>8000.0</v>
      </c>
      <c r="H79" s="4">
        <v>8050.0</v>
      </c>
      <c r="I79" s="3" t="s">
        <v>159</v>
      </c>
      <c r="J79" s="3" t="s">
        <v>171</v>
      </c>
      <c r="K79" s="3" t="s">
        <v>161</v>
      </c>
      <c r="L79" s="6">
        <v>46312.0</v>
      </c>
      <c r="M79" s="6">
        <v>46314.0</v>
      </c>
      <c r="N79" s="3">
        <f t="shared" si="1"/>
        <v>1</v>
      </c>
      <c r="O79" s="4">
        <f t="shared" si="2"/>
        <v>115000</v>
      </c>
      <c r="P79" s="4">
        <f t="shared" si="3"/>
        <v>98950</v>
      </c>
      <c r="Q79" s="4">
        <f>E79*VLOOKUP(D79,Produk_Master!$A$2:$I$16,9,FALSE)</f>
        <v>55000</v>
      </c>
      <c r="R79" s="4">
        <f t="shared" si="4"/>
        <v>43950</v>
      </c>
    </row>
    <row r="80" ht="15.75" customHeight="1">
      <c r="A80" s="3" t="s">
        <v>326</v>
      </c>
      <c r="B80" s="3" t="s">
        <v>327</v>
      </c>
      <c r="C80" s="6">
        <v>46297.0</v>
      </c>
      <c r="D80" s="3" t="s">
        <v>30</v>
      </c>
      <c r="E80" s="3">
        <v>1.0</v>
      </c>
      <c r="F80" s="4">
        <v>109000.0</v>
      </c>
      <c r="G80" s="4">
        <v>5000.0</v>
      </c>
      <c r="H80" s="4">
        <v>10900.0</v>
      </c>
      <c r="I80" s="3" t="s">
        <v>159</v>
      </c>
      <c r="J80" s="3" t="s">
        <v>185</v>
      </c>
      <c r="K80" s="3" t="s">
        <v>177</v>
      </c>
      <c r="L80" s="6">
        <v>46298.0</v>
      </c>
      <c r="M80" s="6">
        <v>46303.0</v>
      </c>
      <c r="N80" s="3">
        <f t="shared" si="1"/>
        <v>1</v>
      </c>
      <c r="O80" s="4">
        <f t="shared" si="2"/>
        <v>109000</v>
      </c>
      <c r="P80" s="4">
        <f t="shared" si="3"/>
        <v>93100</v>
      </c>
      <c r="Q80" s="4">
        <f>E80*VLOOKUP(D80,Produk_Master!$A$2:$I$16,9,FALSE)</f>
        <v>52000</v>
      </c>
      <c r="R80" s="4">
        <f t="shared" si="4"/>
        <v>41100</v>
      </c>
    </row>
    <row r="81" ht="15.75" customHeight="1">
      <c r="A81" s="3" t="s">
        <v>328</v>
      </c>
      <c r="B81" s="3" t="s">
        <v>329</v>
      </c>
      <c r="C81" s="6">
        <v>46305.0</v>
      </c>
      <c r="D81" s="3" t="s">
        <v>30</v>
      </c>
      <c r="E81" s="3">
        <v>2.0</v>
      </c>
      <c r="F81" s="4">
        <v>109000.0</v>
      </c>
      <c r="G81" s="4">
        <v>3000.0</v>
      </c>
      <c r="H81" s="4">
        <v>21800.0</v>
      </c>
      <c r="I81" s="3" t="s">
        <v>159</v>
      </c>
      <c r="J81" s="3" t="s">
        <v>185</v>
      </c>
      <c r="K81" s="3" t="s">
        <v>168</v>
      </c>
      <c r="L81" s="6">
        <v>46307.0</v>
      </c>
      <c r="M81" s="6">
        <v>46308.0</v>
      </c>
      <c r="N81" s="3">
        <f t="shared" si="1"/>
        <v>2</v>
      </c>
      <c r="O81" s="4">
        <f t="shared" si="2"/>
        <v>218000</v>
      </c>
      <c r="P81" s="4">
        <f t="shared" si="3"/>
        <v>193200</v>
      </c>
      <c r="Q81" s="4">
        <f>E81*VLOOKUP(D81,Produk_Master!$A$2:$I$16,9,FALSE)</f>
        <v>104000</v>
      </c>
      <c r="R81" s="4">
        <f t="shared" si="4"/>
        <v>89200</v>
      </c>
    </row>
    <row r="82" ht="15.75" customHeight="1">
      <c r="A82" s="3" t="s">
        <v>330</v>
      </c>
      <c r="B82" s="3" t="s">
        <v>331</v>
      </c>
      <c r="C82" s="6">
        <v>46294.0</v>
      </c>
      <c r="D82" s="3" t="s">
        <v>56</v>
      </c>
      <c r="E82" s="3">
        <v>1.0</v>
      </c>
      <c r="F82" s="4">
        <v>169000.0</v>
      </c>
      <c r="G82" s="4">
        <v>8000.0</v>
      </c>
      <c r="H82" s="4">
        <v>15210.0</v>
      </c>
      <c r="I82" s="3" t="s">
        <v>159</v>
      </c>
      <c r="J82" s="3" t="s">
        <v>220</v>
      </c>
      <c r="K82" s="3" t="s">
        <v>199</v>
      </c>
      <c r="L82" s="6">
        <v>46296.0</v>
      </c>
      <c r="M82" s="6">
        <v>46300.0</v>
      </c>
      <c r="N82" s="3">
        <f t="shared" si="1"/>
        <v>2</v>
      </c>
      <c r="O82" s="4">
        <f t="shared" si="2"/>
        <v>169000</v>
      </c>
      <c r="P82" s="4">
        <f t="shared" si="3"/>
        <v>145790</v>
      </c>
      <c r="Q82" s="4">
        <f>E82*VLOOKUP(D82,Produk_Master!$A$2:$I$16,9,FALSE)</f>
        <v>82000</v>
      </c>
      <c r="R82" s="4">
        <f t="shared" si="4"/>
        <v>63790</v>
      </c>
    </row>
    <row r="83" ht="15.75" customHeight="1">
      <c r="A83" s="3" t="s">
        <v>332</v>
      </c>
      <c r="B83" s="3" t="s">
        <v>333</v>
      </c>
      <c r="C83" s="6">
        <v>46286.0</v>
      </c>
      <c r="D83" s="3" t="s">
        <v>30</v>
      </c>
      <c r="E83" s="3">
        <v>1.0</v>
      </c>
      <c r="F83" s="4">
        <v>109000.0</v>
      </c>
      <c r="G83" s="4">
        <v>0.0</v>
      </c>
      <c r="H83" s="4">
        <v>7630.0</v>
      </c>
      <c r="I83" s="3" t="s">
        <v>159</v>
      </c>
      <c r="J83" s="3" t="s">
        <v>174</v>
      </c>
      <c r="K83" s="3" t="s">
        <v>199</v>
      </c>
      <c r="L83" s="6">
        <v>46288.0</v>
      </c>
      <c r="M83" s="6">
        <v>46291.0</v>
      </c>
      <c r="N83" s="3">
        <f t="shared" si="1"/>
        <v>2</v>
      </c>
      <c r="O83" s="4">
        <f t="shared" si="2"/>
        <v>109000</v>
      </c>
      <c r="P83" s="4">
        <f t="shared" si="3"/>
        <v>101370</v>
      </c>
      <c r="Q83" s="4">
        <f>E83*VLOOKUP(D83,Produk_Master!$A$2:$I$16,9,FALSE)</f>
        <v>52000</v>
      </c>
      <c r="R83" s="4">
        <f t="shared" si="4"/>
        <v>49370</v>
      </c>
    </row>
    <row r="84" ht="15.75" customHeight="1">
      <c r="A84" s="3" t="s">
        <v>334</v>
      </c>
      <c r="B84" s="3" t="s">
        <v>335</v>
      </c>
      <c r="C84" s="6">
        <v>46297.0</v>
      </c>
      <c r="D84" s="3" t="s">
        <v>61</v>
      </c>
      <c r="E84" s="3">
        <v>1.0</v>
      </c>
      <c r="F84" s="4">
        <v>159000.0</v>
      </c>
      <c r="G84" s="4">
        <v>5000.0</v>
      </c>
      <c r="H84" s="4">
        <v>14310.0</v>
      </c>
      <c r="I84" s="3" t="s">
        <v>159</v>
      </c>
      <c r="J84" s="3" t="s">
        <v>160</v>
      </c>
      <c r="K84" s="3" t="s">
        <v>168</v>
      </c>
      <c r="L84" s="6">
        <v>46298.0</v>
      </c>
      <c r="M84" s="6">
        <v>46299.0</v>
      </c>
      <c r="N84" s="3">
        <f t="shared" si="1"/>
        <v>1</v>
      </c>
      <c r="O84" s="4">
        <f t="shared" si="2"/>
        <v>159000</v>
      </c>
      <c r="P84" s="4">
        <f t="shared" si="3"/>
        <v>139690</v>
      </c>
      <c r="Q84" s="4">
        <f>E84*VLOOKUP(D84,Produk_Master!$A$2:$I$16,9,FALSE)</f>
        <v>76000</v>
      </c>
      <c r="R84" s="4">
        <f t="shared" si="4"/>
        <v>63690</v>
      </c>
    </row>
    <row r="85" ht="15.75" customHeight="1">
      <c r="A85" s="3" t="s">
        <v>336</v>
      </c>
      <c r="B85" s="3" t="s">
        <v>337</v>
      </c>
      <c r="C85" s="6">
        <v>46287.0</v>
      </c>
      <c r="D85" s="3" t="s">
        <v>43</v>
      </c>
      <c r="E85" s="3">
        <v>1.0</v>
      </c>
      <c r="F85" s="4">
        <v>159000.0</v>
      </c>
      <c r="G85" s="4">
        <v>0.0</v>
      </c>
      <c r="H85" s="4">
        <v>12720.0</v>
      </c>
      <c r="I85" s="3" t="s">
        <v>159</v>
      </c>
      <c r="J85" s="3" t="s">
        <v>198</v>
      </c>
      <c r="K85" s="3" t="s">
        <v>190</v>
      </c>
      <c r="L85" s="6">
        <v>46289.0</v>
      </c>
      <c r="M85" s="6">
        <v>46291.0</v>
      </c>
      <c r="N85" s="3">
        <f t="shared" si="1"/>
        <v>2</v>
      </c>
      <c r="O85" s="4">
        <f t="shared" si="2"/>
        <v>159000</v>
      </c>
      <c r="P85" s="4">
        <f t="shared" si="3"/>
        <v>146280</v>
      </c>
      <c r="Q85" s="4">
        <f>E85*VLOOKUP(D85,Produk_Master!$A$2:$I$16,9,FALSE)</f>
        <v>78000</v>
      </c>
      <c r="R85" s="4">
        <f t="shared" si="4"/>
        <v>68280</v>
      </c>
    </row>
    <row r="86" ht="15.75" customHeight="1">
      <c r="A86" s="3" t="s">
        <v>338</v>
      </c>
      <c r="B86" s="3" t="s">
        <v>339</v>
      </c>
      <c r="C86" s="6">
        <v>46308.0</v>
      </c>
      <c r="D86" s="3" t="s">
        <v>30</v>
      </c>
      <c r="E86" s="3">
        <v>1.0</v>
      </c>
      <c r="F86" s="4">
        <v>109000.0</v>
      </c>
      <c r="G86" s="4">
        <v>5000.0</v>
      </c>
      <c r="H86" s="4">
        <v>7630.0</v>
      </c>
      <c r="I86" s="3" t="s">
        <v>159</v>
      </c>
      <c r="J86" s="3" t="s">
        <v>174</v>
      </c>
      <c r="K86" s="3" t="s">
        <v>190</v>
      </c>
      <c r="L86" s="6">
        <v>46309.0</v>
      </c>
      <c r="M86" s="6">
        <v>46310.0</v>
      </c>
      <c r="N86" s="3">
        <f t="shared" si="1"/>
        <v>1</v>
      </c>
      <c r="O86" s="4">
        <f t="shared" si="2"/>
        <v>109000</v>
      </c>
      <c r="P86" s="4">
        <f t="shared" si="3"/>
        <v>96370</v>
      </c>
      <c r="Q86" s="4">
        <f>E86*VLOOKUP(D86,Produk_Master!$A$2:$I$16,9,FALSE)</f>
        <v>52000</v>
      </c>
      <c r="R86" s="4">
        <f t="shared" si="4"/>
        <v>44370</v>
      </c>
    </row>
    <row r="87" ht="15.75" customHeight="1">
      <c r="A87" s="3" t="s">
        <v>340</v>
      </c>
      <c r="B87" s="3" t="s">
        <v>341</v>
      </c>
      <c r="C87" s="6">
        <v>46292.0</v>
      </c>
      <c r="D87" s="3" t="s">
        <v>26</v>
      </c>
      <c r="E87" s="3">
        <v>2.0</v>
      </c>
      <c r="F87" s="4">
        <v>95000.0</v>
      </c>
      <c r="G87" s="4">
        <v>0.0</v>
      </c>
      <c r="H87" s="4">
        <v>13300.0</v>
      </c>
      <c r="I87" s="3" t="s">
        <v>159</v>
      </c>
      <c r="J87" s="3" t="s">
        <v>198</v>
      </c>
      <c r="K87" s="3" t="s">
        <v>161</v>
      </c>
      <c r="L87" s="6">
        <v>46293.0</v>
      </c>
      <c r="M87" s="6">
        <v>46294.0</v>
      </c>
      <c r="N87" s="3">
        <f t="shared" si="1"/>
        <v>1</v>
      </c>
      <c r="O87" s="4">
        <f t="shared" si="2"/>
        <v>190000</v>
      </c>
      <c r="P87" s="4">
        <f t="shared" si="3"/>
        <v>176700</v>
      </c>
      <c r="Q87" s="4">
        <f>E87*VLOOKUP(D87,Produk_Master!$A$2:$I$16,9,FALSE)</f>
        <v>90000</v>
      </c>
      <c r="R87" s="4">
        <f t="shared" si="4"/>
        <v>86700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17.0"/>
    <col customWidth="1" min="4" max="4" width="12.0"/>
    <col customWidth="1" min="5" max="5" width="34.0"/>
    <col customWidth="1" min="6" max="6" width="18.0"/>
    <col customWidth="1" min="7" max="7" width="20.0"/>
    <col customWidth="1" min="8" max="8" width="15.0"/>
    <col customWidth="1" min="9" max="26" width="8.63"/>
  </cols>
  <sheetData>
    <row r="1" ht="30.0" customHeight="1">
      <c r="A1" s="1" t="s">
        <v>342</v>
      </c>
      <c r="B1" s="2" t="s">
        <v>140</v>
      </c>
      <c r="C1" s="2" t="s">
        <v>0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</row>
    <row r="2">
      <c r="A2" s="3" t="s">
        <v>348</v>
      </c>
      <c r="B2" s="3" t="s">
        <v>268</v>
      </c>
      <c r="C2" s="3" t="s">
        <v>26</v>
      </c>
      <c r="D2" s="3">
        <v>1.0</v>
      </c>
      <c r="E2" s="3" t="s">
        <v>349</v>
      </c>
      <c r="F2" s="3" t="s">
        <v>350</v>
      </c>
      <c r="G2" s="4">
        <v>95000.0</v>
      </c>
      <c r="H2" s="6">
        <v>46326.0</v>
      </c>
    </row>
    <row r="3">
      <c r="A3" s="3" t="s">
        <v>351</v>
      </c>
      <c r="B3" s="3" t="s">
        <v>306</v>
      </c>
      <c r="C3" s="3" t="s">
        <v>26</v>
      </c>
      <c r="D3" s="3">
        <v>2.0</v>
      </c>
      <c r="E3" s="3" t="s">
        <v>352</v>
      </c>
      <c r="F3" s="3" t="s">
        <v>353</v>
      </c>
      <c r="G3" s="4">
        <v>190000.0</v>
      </c>
      <c r="H3" s="6">
        <v>46303.0</v>
      </c>
    </row>
    <row r="4">
      <c r="A4" s="3" t="s">
        <v>354</v>
      </c>
      <c r="B4" s="3" t="s">
        <v>196</v>
      </c>
      <c r="C4" s="3" t="s">
        <v>21</v>
      </c>
      <c r="D4" s="3">
        <v>1.0</v>
      </c>
      <c r="E4" s="3" t="s">
        <v>355</v>
      </c>
      <c r="F4" s="3" t="s">
        <v>350</v>
      </c>
      <c r="G4" s="4">
        <v>76900.0</v>
      </c>
      <c r="H4" s="6">
        <v>46305.0</v>
      </c>
    </row>
    <row r="5">
      <c r="A5" s="3" t="s">
        <v>356</v>
      </c>
      <c r="B5" s="3" t="s">
        <v>318</v>
      </c>
      <c r="C5" s="3" t="s">
        <v>30</v>
      </c>
      <c r="D5" s="3">
        <v>1.0</v>
      </c>
      <c r="E5" s="3" t="s">
        <v>357</v>
      </c>
      <c r="F5" s="3" t="s">
        <v>353</v>
      </c>
      <c r="G5" s="4">
        <v>109000.0</v>
      </c>
      <c r="H5" s="6">
        <v>46306.0</v>
      </c>
    </row>
    <row r="6">
      <c r="A6" s="3" t="s">
        <v>358</v>
      </c>
      <c r="B6" s="3" t="s">
        <v>191</v>
      </c>
      <c r="C6" s="3" t="s">
        <v>13</v>
      </c>
      <c r="D6" s="3">
        <v>2.0</v>
      </c>
      <c r="E6" s="3" t="s">
        <v>352</v>
      </c>
      <c r="F6" s="3" t="s">
        <v>353</v>
      </c>
      <c r="G6" s="4">
        <v>176800.0</v>
      </c>
      <c r="H6" s="6">
        <v>46306.0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29.0"/>
    <col customWidth="1" min="3" max="3" width="20.0"/>
    <col customWidth="1" min="4" max="5" width="18.0"/>
    <col customWidth="1" min="6" max="7" width="22.0"/>
    <col customWidth="1" min="8" max="8" width="20.0"/>
    <col customWidth="1" min="9" max="9" width="15.0"/>
    <col customWidth="1" min="10" max="10" width="17.0"/>
    <col customWidth="1" min="11" max="11" width="21.0"/>
    <col customWidth="1" min="12" max="12" width="29.0"/>
    <col customWidth="1" min="13" max="13" width="20.0"/>
    <col customWidth="1" min="14" max="14" width="24.0"/>
    <col customWidth="1" min="15" max="26" width="8.63"/>
  </cols>
  <sheetData>
    <row r="1" ht="30.0" customHeight="1">
      <c r="A1" s="1" t="s">
        <v>0</v>
      </c>
      <c r="B1" s="2" t="s">
        <v>1</v>
      </c>
      <c r="C1" s="2" t="s">
        <v>6</v>
      </c>
      <c r="D1" s="2" t="s">
        <v>359</v>
      </c>
      <c r="E1" s="2" t="s">
        <v>360</v>
      </c>
      <c r="F1" s="2" t="s">
        <v>361</v>
      </c>
      <c r="G1" s="2" t="s">
        <v>362</v>
      </c>
      <c r="H1" s="2" t="s">
        <v>363</v>
      </c>
      <c r="I1" s="2" t="s">
        <v>364</v>
      </c>
      <c r="J1" s="2" t="s">
        <v>10</v>
      </c>
      <c r="K1" s="2" t="s">
        <v>11</v>
      </c>
      <c r="L1" s="2" t="s">
        <v>365</v>
      </c>
      <c r="M1" s="2" t="s">
        <v>366</v>
      </c>
      <c r="N1" s="2" t="s">
        <v>367</v>
      </c>
    </row>
    <row r="2">
      <c r="A2" s="3" t="s">
        <v>13</v>
      </c>
      <c r="B2" s="3" t="s">
        <v>14</v>
      </c>
      <c r="C2" s="3" t="s">
        <v>19</v>
      </c>
      <c r="D2" s="3">
        <v>2.0</v>
      </c>
      <c r="E2" s="3">
        <f>SUMIFS(Pembelian!$G$2:$G$27,Pembelian!$E$2:$E$27,A2,Pembelian!$C$2:$C$27,"&gt;="&amp;DATE(2026,9,1),Pembelian!$C$2:$C$27,"&lt;="&amp;DATE(2026,10,20))-SUMIFS(Pembelian!$J$2:$J$27,Pembelian!$E$2:$E$27,A2,Pembelian!$C$2:$C$27,"&gt;="&amp;DATE(2026,9,1),Pembelian!$C$2:$C$27,"&lt;="&amp;DATE(2026,10,20))</f>
        <v>9</v>
      </c>
      <c r="F2" s="3">
        <f>SUMIFS(Pesanan!$E$2:$E$87,Pesanan!$D$2:$D$87,A2,Pesanan!$I$2:$I$87,"Terkirim")</f>
        <v>4</v>
      </c>
      <c r="G2" s="3">
        <f>SUMIFS(Retur!$D$2:$D$6,Retur!$C$2:$C$6,A2,Retur!$F$2:$F$6,"Layak jual")</f>
        <v>0</v>
      </c>
      <c r="H2" s="3">
        <v>0.0</v>
      </c>
      <c r="I2" s="3">
        <f t="shared" ref="I2:I16" si="1">D2+E2-F2+G2+H2</f>
        <v>7</v>
      </c>
      <c r="J2" s="3">
        <v>5.0</v>
      </c>
      <c r="K2" s="3">
        <v>7.0</v>
      </c>
      <c r="L2" s="7">
        <f>SUMIFS(Pesanan!$E$2:$E$87,Pesanan!$D$2:$D$87,A2,Pesanan!$I$2:$I$87,"Terkirim",Pesanan!$C$2:$C$87,"&gt;="&amp;DATE(2026,9,21),Pesanan!$C$2:$C$87,"&lt;="&amp;DATE(2026,10,20))/30</f>
        <v>0.1333333333</v>
      </c>
      <c r="M2" s="3">
        <f t="shared" ref="M2:M16" si="2">IF(C2="One-off Vintage",0,ROUNDUP(L2*K2+J2,0))</f>
        <v>6</v>
      </c>
      <c r="N2" s="3" t="str">
        <f t="shared" ref="N2:N16" si="3">IF(C2="One-off Vintage","Sourcing per item",IF(I2&lt;=M2,"PERLU RESTOCK","Aman"))</f>
        <v>Aman</v>
      </c>
    </row>
    <row r="3">
      <c r="A3" s="3" t="s">
        <v>21</v>
      </c>
      <c r="B3" s="3" t="s">
        <v>22</v>
      </c>
      <c r="C3" s="3" t="s">
        <v>19</v>
      </c>
      <c r="D3" s="3">
        <v>4.0</v>
      </c>
      <c r="E3" s="3">
        <f>SUMIFS(Pembelian!$G$2:$G$27,Pembelian!$E$2:$E$27,A3,Pembelian!$C$2:$C$27,"&gt;="&amp;DATE(2026,9,1),Pembelian!$C$2:$C$27,"&lt;="&amp;DATE(2026,10,20))-SUMIFS(Pembelian!$J$2:$J$27,Pembelian!$E$2:$E$27,A3,Pembelian!$C$2:$C$27,"&gt;="&amp;DATE(2026,9,1),Pembelian!$C$2:$C$27,"&lt;="&amp;DATE(2026,10,20))</f>
        <v>6</v>
      </c>
      <c r="F3" s="3">
        <f>SUMIFS(Pesanan!$E$2:$E$87,Pesanan!$D$2:$D$87,A3,Pesanan!$I$2:$I$87,"Terkirim")</f>
        <v>6</v>
      </c>
      <c r="G3" s="3">
        <f>SUMIFS(Retur!$D$2:$D$6,Retur!$C$2:$C$6,A3,Retur!$F$2:$F$6,"Layak jual")</f>
        <v>1</v>
      </c>
      <c r="H3" s="3">
        <v>0.0</v>
      </c>
      <c r="I3" s="3">
        <f t="shared" si="1"/>
        <v>5</v>
      </c>
      <c r="J3" s="3">
        <v>6.0</v>
      </c>
      <c r="K3" s="3">
        <v>6.0</v>
      </c>
      <c r="L3" s="7">
        <f>SUMIFS(Pesanan!$E$2:$E$87,Pesanan!$D$2:$D$87,A3,Pesanan!$I$2:$I$87,"Terkirim",Pesanan!$C$2:$C$87,"&gt;="&amp;DATE(2026,9,21),Pesanan!$C$2:$C$87,"&lt;="&amp;DATE(2026,10,20))/30</f>
        <v>0.2</v>
      </c>
      <c r="M3" s="3">
        <f t="shared" si="2"/>
        <v>8</v>
      </c>
      <c r="N3" s="3" t="str">
        <f t="shared" si="3"/>
        <v>PERLU RESTOCK</v>
      </c>
    </row>
    <row r="4">
      <c r="A4" s="3" t="s">
        <v>26</v>
      </c>
      <c r="B4" s="3" t="s">
        <v>27</v>
      </c>
      <c r="C4" s="3" t="s">
        <v>19</v>
      </c>
      <c r="D4" s="3">
        <v>2.0</v>
      </c>
      <c r="E4" s="3">
        <f>SUMIFS(Pembelian!$G$2:$G$27,Pembelian!$E$2:$E$27,A4,Pembelian!$C$2:$C$27,"&gt;="&amp;DATE(2026,9,1),Pembelian!$C$2:$C$27,"&lt;="&amp;DATE(2026,10,20))-SUMIFS(Pembelian!$J$2:$J$27,Pembelian!$E$2:$E$27,A4,Pembelian!$C$2:$C$27,"&gt;="&amp;DATE(2026,9,1),Pembelian!$C$2:$C$27,"&lt;="&amp;DATE(2026,10,20))</f>
        <v>11</v>
      </c>
      <c r="F4" s="3">
        <f>SUMIFS(Pesanan!$E$2:$E$87,Pesanan!$D$2:$D$87,A4,Pesanan!$I$2:$I$87,"Terkirim")</f>
        <v>7</v>
      </c>
      <c r="G4" s="3">
        <f>SUMIFS(Retur!$D$2:$D$6,Retur!$C$2:$C$6,A4,Retur!$F$2:$F$6,"Layak jual")</f>
        <v>1</v>
      </c>
      <c r="H4" s="3">
        <v>0.0</v>
      </c>
      <c r="I4" s="3">
        <f t="shared" si="1"/>
        <v>7</v>
      </c>
      <c r="J4" s="3">
        <v>4.0</v>
      </c>
      <c r="K4" s="3">
        <v>8.0</v>
      </c>
      <c r="L4" s="7">
        <f>SUMIFS(Pesanan!$E$2:$E$87,Pesanan!$D$2:$D$87,A4,Pesanan!$I$2:$I$87,"Terkirim",Pesanan!$C$2:$C$87,"&gt;="&amp;DATE(2026,9,21),Pesanan!$C$2:$C$87,"&lt;="&amp;DATE(2026,10,20))/30</f>
        <v>0.2333333333</v>
      </c>
      <c r="M4" s="3">
        <f t="shared" si="2"/>
        <v>6</v>
      </c>
      <c r="N4" s="3" t="str">
        <f t="shared" si="3"/>
        <v>Aman</v>
      </c>
    </row>
    <row r="5">
      <c r="A5" s="3" t="s">
        <v>30</v>
      </c>
      <c r="B5" s="3" t="s">
        <v>31</v>
      </c>
      <c r="C5" s="3" t="s">
        <v>19</v>
      </c>
      <c r="D5" s="3">
        <v>2.0</v>
      </c>
      <c r="E5" s="3">
        <f>SUMIFS(Pembelian!$G$2:$G$27,Pembelian!$E$2:$E$27,A5,Pembelian!$C$2:$C$27,"&gt;="&amp;DATE(2026,9,1),Pembelian!$C$2:$C$27,"&lt;="&amp;DATE(2026,10,20))-SUMIFS(Pembelian!$J$2:$J$27,Pembelian!$E$2:$E$27,A5,Pembelian!$C$2:$C$27,"&gt;="&amp;DATE(2026,9,1),Pembelian!$C$2:$C$27,"&lt;="&amp;DATE(2026,10,20))</f>
        <v>18</v>
      </c>
      <c r="F5" s="3">
        <f>SUMIFS(Pesanan!$E$2:$E$87,Pesanan!$D$2:$D$87,A5,Pesanan!$I$2:$I$87,"Terkirim")</f>
        <v>12</v>
      </c>
      <c r="G5" s="3">
        <f>SUMIFS(Retur!$D$2:$D$6,Retur!$C$2:$C$6,A5,Retur!$F$2:$F$6,"Layak jual")</f>
        <v>0</v>
      </c>
      <c r="H5" s="3">
        <v>0.0</v>
      </c>
      <c r="I5" s="3">
        <f t="shared" si="1"/>
        <v>8</v>
      </c>
      <c r="J5" s="3">
        <v>4.0</v>
      </c>
      <c r="K5" s="3">
        <v>8.0</v>
      </c>
      <c r="L5" s="7">
        <f>SUMIFS(Pesanan!$E$2:$E$87,Pesanan!$D$2:$D$87,A5,Pesanan!$I$2:$I$87,"Terkirim",Pesanan!$C$2:$C$87,"&gt;="&amp;DATE(2026,9,21),Pesanan!$C$2:$C$87,"&lt;="&amp;DATE(2026,10,20))/30</f>
        <v>0.4</v>
      </c>
      <c r="M5" s="3">
        <f t="shared" si="2"/>
        <v>8</v>
      </c>
      <c r="N5" s="3" t="str">
        <f t="shared" si="3"/>
        <v>PERLU RESTOCK</v>
      </c>
    </row>
    <row r="6">
      <c r="A6" s="3" t="s">
        <v>36</v>
      </c>
      <c r="B6" s="3" t="s">
        <v>37</v>
      </c>
      <c r="C6" s="3" t="s">
        <v>41</v>
      </c>
      <c r="D6" s="3">
        <v>1.0</v>
      </c>
      <c r="E6" s="3">
        <f>SUMIFS(Pembelian!$G$2:$G$27,Pembelian!$E$2:$E$27,A6,Pembelian!$C$2:$C$27,"&gt;="&amp;DATE(2026,9,1),Pembelian!$C$2:$C$27,"&lt;="&amp;DATE(2026,10,20))-SUMIFS(Pembelian!$J$2:$J$27,Pembelian!$E$2:$E$27,A6,Pembelian!$C$2:$C$27,"&gt;="&amp;DATE(2026,9,1),Pembelian!$C$2:$C$27,"&lt;="&amp;DATE(2026,10,20))</f>
        <v>0</v>
      </c>
      <c r="F6" s="3">
        <f>SUMIFS(Pesanan!$E$2:$E$87,Pesanan!$D$2:$D$87,A6,Pesanan!$I$2:$I$87,"Terkirim")</f>
        <v>1</v>
      </c>
      <c r="G6" s="3">
        <f>SUMIFS(Retur!$D$2:$D$6,Retur!$C$2:$C$6,A6,Retur!$F$2:$F$6,"Layak jual")</f>
        <v>0</v>
      </c>
      <c r="H6" s="3">
        <v>0.0</v>
      </c>
      <c r="I6" s="3">
        <f t="shared" si="1"/>
        <v>0</v>
      </c>
      <c r="J6" s="3">
        <v>0.0</v>
      </c>
      <c r="K6" s="3">
        <v>0.0</v>
      </c>
      <c r="L6" s="7">
        <f>SUMIFS(Pesanan!$E$2:$E$87,Pesanan!$D$2:$D$87,A6,Pesanan!$I$2:$I$87,"Terkirim",Pesanan!$C$2:$C$87,"&gt;="&amp;DATE(2026,9,21),Pesanan!$C$2:$C$87,"&lt;="&amp;DATE(2026,10,20))/30</f>
        <v>0.03333333333</v>
      </c>
      <c r="M6" s="3">
        <f t="shared" si="2"/>
        <v>0</v>
      </c>
      <c r="N6" s="3" t="str">
        <f t="shared" si="3"/>
        <v>Sourcing per item</v>
      </c>
    </row>
    <row r="7">
      <c r="A7" s="3" t="s">
        <v>43</v>
      </c>
      <c r="B7" s="3" t="s">
        <v>44</v>
      </c>
      <c r="C7" s="3" t="s">
        <v>41</v>
      </c>
      <c r="D7" s="3">
        <v>5.0</v>
      </c>
      <c r="E7" s="3">
        <f>SUMIFS(Pembelian!$G$2:$G$27,Pembelian!$E$2:$E$27,A7,Pembelian!$C$2:$C$27,"&gt;="&amp;DATE(2026,9,1),Pembelian!$C$2:$C$27,"&lt;="&amp;DATE(2026,10,20))-SUMIFS(Pembelian!$J$2:$J$27,Pembelian!$E$2:$E$27,A7,Pembelian!$C$2:$C$27,"&gt;="&amp;DATE(2026,9,1),Pembelian!$C$2:$C$27,"&lt;="&amp;DATE(2026,10,20))</f>
        <v>0</v>
      </c>
      <c r="F7" s="3">
        <f>SUMIFS(Pesanan!$E$2:$E$87,Pesanan!$D$2:$D$87,A7,Pesanan!$I$2:$I$87,"Terkirim")</f>
        <v>4</v>
      </c>
      <c r="G7" s="3">
        <f>SUMIFS(Retur!$D$2:$D$6,Retur!$C$2:$C$6,A7,Retur!$F$2:$F$6,"Layak jual")</f>
        <v>0</v>
      </c>
      <c r="H7" s="3">
        <v>0.0</v>
      </c>
      <c r="I7" s="3">
        <f t="shared" si="1"/>
        <v>1</v>
      </c>
      <c r="J7" s="3">
        <v>0.0</v>
      </c>
      <c r="K7" s="3">
        <v>0.0</v>
      </c>
      <c r="L7" s="7">
        <f>SUMIFS(Pesanan!$E$2:$E$87,Pesanan!$D$2:$D$87,A7,Pesanan!$I$2:$I$87,"Terkirim",Pesanan!$C$2:$C$87,"&gt;="&amp;DATE(2026,9,21),Pesanan!$C$2:$C$87,"&lt;="&amp;DATE(2026,10,20))/30</f>
        <v>0.1333333333</v>
      </c>
      <c r="M7" s="3">
        <f t="shared" si="2"/>
        <v>0</v>
      </c>
      <c r="N7" s="3" t="str">
        <f t="shared" si="3"/>
        <v>Sourcing per item</v>
      </c>
    </row>
    <row r="8">
      <c r="A8" s="3" t="s">
        <v>48</v>
      </c>
      <c r="B8" s="3" t="s">
        <v>49</v>
      </c>
      <c r="C8" s="3" t="s">
        <v>19</v>
      </c>
      <c r="D8" s="3">
        <v>2.0</v>
      </c>
      <c r="E8" s="3">
        <f>SUMIFS(Pembelian!$G$2:$G$27,Pembelian!$E$2:$E$27,A8,Pembelian!$C$2:$C$27,"&gt;="&amp;DATE(2026,9,1),Pembelian!$C$2:$C$27,"&lt;="&amp;DATE(2026,10,20))-SUMIFS(Pembelian!$J$2:$J$27,Pembelian!$E$2:$E$27,A8,Pembelian!$C$2:$C$27,"&gt;="&amp;DATE(2026,9,1),Pembelian!$C$2:$C$27,"&lt;="&amp;DATE(2026,10,20))</f>
        <v>15</v>
      </c>
      <c r="F8" s="3">
        <f>SUMIFS(Pesanan!$E$2:$E$87,Pesanan!$D$2:$D$87,A8,Pesanan!$I$2:$I$87,"Terkirim")</f>
        <v>10</v>
      </c>
      <c r="G8" s="3">
        <f>SUMIFS(Retur!$D$2:$D$6,Retur!$C$2:$C$6,A8,Retur!$F$2:$F$6,"Layak jual")</f>
        <v>0</v>
      </c>
      <c r="H8" s="3">
        <v>0.0</v>
      </c>
      <c r="I8" s="3">
        <f t="shared" si="1"/>
        <v>7</v>
      </c>
      <c r="J8" s="3">
        <v>3.0</v>
      </c>
      <c r="K8" s="3">
        <v>10.0</v>
      </c>
      <c r="L8" s="7">
        <f>SUMIFS(Pesanan!$E$2:$E$87,Pesanan!$D$2:$D$87,A8,Pesanan!$I$2:$I$87,"Terkirim",Pesanan!$C$2:$C$87,"&gt;="&amp;DATE(2026,9,21),Pesanan!$C$2:$C$87,"&lt;="&amp;DATE(2026,10,20))/30</f>
        <v>0.3333333333</v>
      </c>
      <c r="M8" s="3">
        <f t="shared" si="2"/>
        <v>7</v>
      </c>
      <c r="N8" s="3" t="str">
        <f t="shared" si="3"/>
        <v>PERLU RESTOCK</v>
      </c>
    </row>
    <row r="9">
      <c r="A9" s="3" t="s">
        <v>53</v>
      </c>
      <c r="B9" s="3" t="s">
        <v>54</v>
      </c>
      <c r="C9" s="3" t="s">
        <v>41</v>
      </c>
      <c r="D9" s="3">
        <v>2.0</v>
      </c>
      <c r="E9" s="3">
        <f>SUMIFS(Pembelian!$G$2:$G$27,Pembelian!$E$2:$E$27,A9,Pembelian!$C$2:$C$27,"&gt;="&amp;DATE(2026,9,1),Pembelian!$C$2:$C$27,"&lt;="&amp;DATE(2026,10,20))-SUMIFS(Pembelian!$J$2:$J$27,Pembelian!$E$2:$E$27,A9,Pembelian!$C$2:$C$27,"&gt;="&amp;DATE(2026,9,1),Pembelian!$C$2:$C$27,"&lt;="&amp;DATE(2026,10,20))</f>
        <v>0</v>
      </c>
      <c r="F9" s="3">
        <f>SUMIFS(Pesanan!$E$2:$E$87,Pesanan!$D$2:$D$87,A9,Pesanan!$I$2:$I$87,"Terkirim")</f>
        <v>1</v>
      </c>
      <c r="G9" s="3">
        <f>SUMIFS(Retur!$D$2:$D$6,Retur!$C$2:$C$6,A9,Retur!$F$2:$F$6,"Layak jual")</f>
        <v>0</v>
      </c>
      <c r="H9" s="3">
        <v>0.0</v>
      </c>
      <c r="I9" s="3">
        <f t="shared" si="1"/>
        <v>1</v>
      </c>
      <c r="J9" s="3">
        <v>0.0</v>
      </c>
      <c r="K9" s="3">
        <v>0.0</v>
      </c>
      <c r="L9" s="7">
        <f>SUMIFS(Pesanan!$E$2:$E$87,Pesanan!$D$2:$D$87,A9,Pesanan!$I$2:$I$87,"Terkirim",Pesanan!$C$2:$C$87,"&gt;="&amp;DATE(2026,9,21),Pesanan!$C$2:$C$87,"&lt;="&amp;DATE(2026,10,20))/30</f>
        <v>0.03333333333</v>
      </c>
      <c r="M9" s="3">
        <f t="shared" si="2"/>
        <v>0</v>
      </c>
      <c r="N9" s="3" t="str">
        <f t="shared" si="3"/>
        <v>Sourcing per item</v>
      </c>
    </row>
    <row r="10">
      <c r="A10" s="3" t="s">
        <v>56</v>
      </c>
      <c r="B10" s="3" t="s">
        <v>57</v>
      </c>
      <c r="C10" s="3" t="s">
        <v>19</v>
      </c>
      <c r="D10" s="3">
        <v>3.0</v>
      </c>
      <c r="E10" s="3">
        <f>SUMIFS(Pembelian!$G$2:$G$27,Pembelian!$E$2:$E$27,A10,Pembelian!$C$2:$C$27,"&gt;="&amp;DATE(2026,9,1),Pembelian!$C$2:$C$27,"&lt;="&amp;DATE(2026,10,20))-SUMIFS(Pembelian!$J$2:$J$27,Pembelian!$E$2:$E$27,A10,Pembelian!$C$2:$C$27,"&gt;="&amp;DATE(2026,9,1),Pembelian!$C$2:$C$27,"&lt;="&amp;DATE(2026,10,20))</f>
        <v>12</v>
      </c>
      <c r="F10" s="3">
        <f>SUMIFS(Pesanan!$E$2:$E$87,Pesanan!$D$2:$D$87,A10,Pesanan!$I$2:$I$87,"Terkirim")</f>
        <v>7</v>
      </c>
      <c r="G10" s="3">
        <f>SUMIFS(Retur!$D$2:$D$6,Retur!$C$2:$C$6,A10,Retur!$F$2:$F$6,"Layak jual")</f>
        <v>0</v>
      </c>
      <c r="H10" s="3">
        <v>0.0</v>
      </c>
      <c r="I10" s="3">
        <f t="shared" si="1"/>
        <v>8</v>
      </c>
      <c r="J10" s="3">
        <v>3.0</v>
      </c>
      <c r="K10" s="3">
        <v>9.0</v>
      </c>
      <c r="L10" s="7">
        <f>SUMIFS(Pesanan!$E$2:$E$87,Pesanan!$D$2:$D$87,A10,Pesanan!$I$2:$I$87,"Terkirim",Pesanan!$C$2:$C$87,"&gt;="&amp;DATE(2026,9,21),Pesanan!$C$2:$C$87,"&lt;="&amp;DATE(2026,10,20))/30</f>
        <v>0.2333333333</v>
      </c>
      <c r="M10" s="3">
        <f t="shared" si="2"/>
        <v>6</v>
      </c>
      <c r="N10" s="3" t="str">
        <f t="shared" si="3"/>
        <v>Aman</v>
      </c>
    </row>
    <row r="11">
      <c r="A11" s="3" t="s">
        <v>61</v>
      </c>
      <c r="B11" s="3" t="s">
        <v>62</v>
      </c>
      <c r="C11" s="3" t="s">
        <v>19</v>
      </c>
      <c r="D11" s="3">
        <v>4.0</v>
      </c>
      <c r="E11" s="3">
        <f>SUMIFS(Pembelian!$G$2:$G$27,Pembelian!$E$2:$E$27,A11,Pembelian!$C$2:$C$27,"&gt;="&amp;DATE(2026,9,1),Pembelian!$C$2:$C$27,"&lt;="&amp;DATE(2026,10,20))-SUMIFS(Pembelian!$J$2:$J$27,Pembelian!$E$2:$E$27,A11,Pembelian!$C$2:$C$27,"&gt;="&amp;DATE(2026,9,1),Pembelian!$C$2:$C$27,"&lt;="&amp;DATE(2026,10,20))</f>
        <v>13</v>
      </c>
      <c r="F11" s="3">
        <f>SUMIFS(Pesanan!$E$2:$E$87,Pesanan!$D$2:$D$87,A11,Pesanan!$I$2:$I$87,"Terkirim")</f>
        <v>12</v>
      </c>
      <c r="G11" s="3">
        <f>SUMIFS(Retur!$D$2:$D$6,Retur!$C$2:$C$6,A11,Retur!$F$2:$F$6,"Layak jual")</f>
        <v>0</v>
      </c>
      <c r="H11" s="3">
        <v>0.0</v>
      </c>
      <c r="I11" s="3">
        <f t="shared" si="1"/>
        <v>5</v>
      </c>
      <c r="J11" s="3">
        <v>4.0</v>
      </c>
      <c r="K11" s="3">
        <v>7.0</v>
      </c>
      <c r="L11" s="7">
        <f>SUMIFS(Pesanan!$E$2:$E$87,Pesanan!$D$2:$D$87,A11,Pesanan!$I$2:$I$87,"Terkirim",Pesanan!$C$2:$C$87,"&gt;="&amp;DATE(2026,9,21),Pesanan!$C$2:$C$87,"&lt;="&amp;DATE(2026,10,20))/30</f>
        <v>0.4</v>
      </c>
      <c r="M11" s="3">
        <f t="shared" si="2"/>
        <v>7</v>
      </c>
      <c r="N11" s="3" t="str">
        <f t="shared" si="3"/>
        <v>PERLU RESTOCK</v>
      </c>
    </row>
    <row r="12">
      <c r="A12" s="3" t="s">
        <v>64</v>
      </c>
      <c r="B12" s="3" t="s">
        <v>65</v>
      </c>
      <c r="C12" s="3" t="s">
        <v>41</v>
      </c>
      <c r="D12" s="3">
        <v>1.0</v>
      </c>
      <c r="E12" s="3">
        <f>SUMIFS(Pembelian!$G$2:$G$27,Pembelian!$E$2:$E$27,A12,Pembelian!$C$2:$C$27,"&gt;="&amp;DATE(2026,9,1),Pembelian!$C$2:$C$27,"&lt;="&amp;DATE(2026,10,20))-SUMIFS(Pembelian!$J$2:$J$27,Pembelian!$E$2:$E$27,A12,Pembelian!$C$2:$C$27,"&gt;="&amp;DATE(2026,9,1),Pembelian!$C$2:$C$27,"&lt;="&amp;DATE(2026,10,20))</f>
        <v>0</v>
      </c>
      <c r="F12" s="3">
        <f>SUMIFS(Pesanan!$E$2:$E$87,Pesanan!$D$2:$D$87,A12,Pesanan!$I$2:$I$87,"Terkirim")</f>
        <v>0</v>
      </c>
      <c r="G12" s="3">
        <f>SUMIFS(Retur!$D$2:$D$6,Retur!$C$2:$C$6,A12,Retur!$F$2:$F$6,"Layak jual")</f>
        <v>0</v>
      </c>
      <c r="H12" s="3">
        <v>0.0</v>
      </c>
      <c r="I12" s="3">
        <f t="shared" si="1"/>
        <v>1</v>
      </c>
      <c r="J12" s="3">
        <v>0.0</v>
      </c>
      <c r="K12" s="3">
        <v>0.0</v>
      </c>
      <c r="L12" s="7">
        <f>SUMIFS(Pesanan!$E$2:$E$87,Pesanan!$D$2:$D$87,A12,Pesanan!$I$2:$I$87,"Terkirim",Pesanan!$C$2:$C$87,"&gt;="&amp;DATE(2026,9,21),Pesanan!$C$2:$C$87,"&lt;="&amp;DATE(2026,10,20))/30</f>
        <v>0</v>
      </c>
      <c r="M12" s="3">
        <f t="shared" si="2"/>
        <v>0</v>
      </c>
      <c r="N12" s="3" t="str">
        <f t="shared" si="3"/>
        <v>Sourcing per item</v>
      </c>
    </row>
    <row r="13">
      <c r="A13" s="3" t="s">
        <v>68</v>
      </c>
      <c r="B13" s="3" t="s">
        <v>69</v>
      </c>
      <c r="C13" s="3" t="s">
        <v>19</v>
      </c>
      <c r="D13" s="3">
        <v>4.0</v>
      </c>
      <c r="E13" s="3">
        <f>SUMIFS(Pembelian!$G$2:$G$27,Pembelian!$E$2:$E$27,A13,Pembelian!$C$2:$C$27,"&gt;="&amp;DATE(2026,9,1),Pembelian!$C$2:$C$27,"&lt;="&amp;DATE(2026,10,20))-SUMIFS(Pembelian!$J$2:$J$27,Pembelian!$E$2:$E$27,A13,Pembelian!$C$2:$C$27,"&gt;="&amp;DATE(2026,9,1),Pembelian!$C$2:$C$27,"&lt;="&amp;DATE(2026,10,20))</f>
        <v>4</v>
      </c>
      <c r="F13" s="3">
        <f>SUMIFS(Pesanan!$E$2:$E$87,Pesanan!$D$2:$D$87,A13,Pesanan!$I$2:$I$87,"Terkirim")</f>
        <v>2</v>
      </c>
      <c r="G13" s="3">
        <f>SUMIFS(Retur!$D$2:$D$6,Retur!$C$2:$C$6,A13,Retur!$F$2:$F$6,"Layak jual")</f>
        <v>0</v>
      </c>
      <c r="H13" s="3">
        <v>0.0</v>
      </c>
      <c r="I13" s="3">
        <f t="shared" si="1"/>
        <v>6</v>
      </c>
      <c r="J13" s="3">
        <v>3.0</v>
      </c>
      <c r="K13" s="3">
        <v>10.0</v>
      </c>
      <c r="L13" s="7">
        <f>SUMIFS(Pesanan!$E$2:$E$87,Pesanan!$D$2:$D$87,A13,Pesanan!$I$2:$I$87,"Terkirim",Pesanan!$C$2:$C$87,"&gt;="&amp;DATE(2026,9,21),Pesanan!$C$2:$C$87,"&lt;="&amp;DATE(2026,10,20))/30</f>
        <v>0.06666666667</v>
      </c>
      <c r="M13" s="3">
        <f t="shared" si="2"/>
        <v>4</v>
      </c>
      <c r="N13" s="3" t="str">
        <f t="shared" si="3"/>
        <v>Aman</v>
      </c>
    </row>
    <row r="14">
      <c r="A14" s="3" t="s">
        <v>72</v>
      </c>
      <c r="B14" s="3" t="s">
        <v>73</v>
      </c>
      <c r="C14" s="3" t="s">
        <v>41</v>
      </c>
      <c r="D14" s="3">
        <v>3.0</v>
      </c>
      <c r="E14" s="3">
        <f>SUMIFS(Pembelian!$G$2:$G$27,Pembelian!$E$2:$E$27,A14,Pembelian!$C$2:$C$27,"&gt;="&amp;DATE(2026,9,1),Pembelian!$C$2:$C$27,"&lt;="&amp;DATE(2026,10,20))-SUMIFS(Pembelian!$J$2:$J$27,Pembelian!$E$2:$E$27,A14,Pembelian!$C$2:$C$27,"&gt;="&amp;DATE(2026,9,1),Pembelian!$C$2:$C$27,"&lt;="&amp;DATE(2026,10,20))</f>
        <v>0</v>
      </c>
      <c r="F14" s="3">
        <f>SUMIFS(Pesanan!$E$2:$E$87,Pesanan!$D$2:$D$87,A14,Pesanan!$I$2:$I$87,"Terkirim")</f>
        <v>3</v>
      </c>
      <c r="G14" s="3">
        <f>SUMIFS(Retur!$D$2:$D$6,Retur!$C$2:$C$6,A14,Retur!$F$2:$F$6,"Layak jual")</f>
        <v>0</v>
      </c>
      <c r="H14" s="3">
        <v>0.0</v>
      </c>
      <c r="I14" s="3">
        <f t="shared" si="1"/>
        <v>0</v>
      </c>
      <c r="J14" s="3">
        <v>0.0</v>
      </c>
      <c r="K14" s="3">
        <v>0.0</v>
      </c>
      <c r="L14" s="7">
        <f>SUMIFS(Pesanan!$E$2:$E$87,Pesanan!$D$2:$D$87,A14,Pesanan!$I$2:$I$87,"Terkirim",Pesanan!$C$2:$C$87,"&gt;="&amp;DATE(2026,9,21),Pesanan!$C$2:$C$87,"&lt;="&amp;DATE(2026,10,20))/30</f>
        <v>0.1</v>
      </c>
      <c r="M14" s="3">
        <f t="shared" si="2"/>
        <v>0</v>
      </c>
      <c r="N14" s="3" t="str">
        <f t="shared" si="3"/>
        <v>Sourcing per item</v>
      </c>
    </row>
    <row r="15">
      <c r="A15" s="3" t="s">
        <v>76</v>
      </c>
      <c r="B15" s="3" t="s">
        <v>77</v>
      </c>
      <c r="C15" s="3" t="s">
        <v>19</v>
      </c>
      <c r="D15" s="3">
        <v>3.0</v>
      </c>
      <c r="E15" s="3">
        <f>SUMIFS(Pembelian!$G$2:$G$27,Pembelian!$E$2:$E$27,A15,Pembelian!$C$2:$C$27,"&gt;="&amp;DATE(2026,9,1),Pembelian!$C$2:$C$27,"&lt;="&amp;DATE(2026,10,20))-SUMIFS(Pembelian!$J$2:$J$27,Pembelian!$E$2:$E$27,A15,Pembelian!$C$2:$C$27,"&gt;="&amp;DATE(2026,9,1),Pembelian!$C$2:$C$27,"&lt;="&amp;DATE(2026,10,20))</f>
        <v>11</v>
      </c>
      <c r="F15" s="3">
        <f>SUMIFS(Pesanan!$E$2:$E$87,Pesanan!$D$2:$D$87,A15,Pesanan!$I$2:$I$87,"Terkirim")</f>
        <v>6</v>
      </c>
      <c r="G15" s="3">
        <f>SUMIFS(Retur!$D$2:$D$6,Retur!$C$2:$C$6,A15,Retur!$F$2:$F$6,"Layak jual")</f>
        <v>0</v>
      </c>
      <c r="H15" s="3">
        <v>0.0</v>
      </c>
      <c r="I15" s="3">
        <f t="shared" si="1"/>
        <v>8</v>
      </c>
      <c r="J15" s="3">
        <v>4.0</v>
      </c>
      <c r="K15" s="3">
        <v>8.0</v>
      </c>
      <c r="L15" s="7">
        <f>SUMIFS(Pesanan!$E$2:$E$87,Pesanan!$D$2:$D$87,A15,Pesanan!$I$2:$I$87,"Terkirim",Pesanan!$C$2:$C$87,"&gt;="&amp;DATE(2026,9,21),Pesanan!$C$2:$C$87,"&lt;="&amp;DATE(2026,10,20))/30</f>
        <v>0.2</v>
      </c>
      <c r="M15" s="3">
        <f t="shared" si="2"/>
        <v>6</v>
      </c>
      <c r="N15" s="3" t="str">
        <f t="shared" si="3"/>
        <v>Aman</v>
      </c>
    </row>
    <row r="16">
      <c r="A16" s="3" t="s">
        <v>80</v>
      </c>
      <c r="B16" s="3" t="s">
        <v>81</v>
      </c>
      <c r="C16" s="3" t="s">
        <v>19</v>
      </c>
      <c r="D16" s="3">
        <v>4.0</v>
      </c>
      <c r="E16" s="3">
        <f>SUMIFS(Pembelian!$G$2:$G$27,Pembelian!$E$2:$E$27,A16,Pembelian!$C$2:$C$27,"&gt;="&amp;DATE(2026,9,1),Pembelian!$C$2:$C$27,"&lt;="&amp;DATE(2026,10,20))-SUMIFS(Pembelian!$J$2:$J$27,Pembelian!$E$2:$E$27,A16,Pembelian!$C$2:$C$27,"&gt;="&amp;DATE(2026,9,1),Pembelian!$C$2:$C$27,"&lt;="&amp;DATE(2026,10,20))</f>
        <v>6</v>
      </c>
      <c r="F16" s="3">
        <f>SUMIFS(Pesanan!$E$2:$E$87,Pesanan!$D$2:$D$87,A16,Pesanan!$I$2:$I$87,"Terkirim")</f>
        <v>3</v>
      </c>
      <c r="G16" s="3">
        <f>SUMIFS(Retur!$D$2:$D$6,Retur!$C$2:$C$6,A16,Retur!$F$2:$F$6,"Layak jual")</f>
        <v>0</v>
      </c>
      <c r="H16" s="3">
        <v>0.0</v>
      </c>
      <c r="I16" s="3">
        <f t="shared" si="1"/>
        <v>7</v>
      </c>
      <c r="J16" s="3">
        <v>3.0</v>
      </c>
      <c r="K16" s="3">
        <v>10.0</v>
      </c>
      <c r="L16" s="7">
        <f>SUMIFS(Pesanan!$E$2:$E$87,Pesanan!$D$2:$D$87,A16,Pesanan!$I$2:$I$87,"Terkirim",Pesanan!$C$2:$C$87,"&gt;="&amp;DATE(2026,9,21),Pesanan!$C$2:$C$87,"&lt;="&amp;DATE(2026,10,20))/30</f>
        <v>0.1</v>
      </c>
      <c r="M16" s="3">
        <f t="shared" si="2"/>
        <v>4</v>
      </c>
      <c r="N16" s="3" t="str">
        <f t="shared" si="3"/>
        <v>Aman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N2:N16">
    <cfRule type="expression" dxfId="5" priority="1">
      <formula>N2="PERLU RESTOCK"</formula>
    </cfRule>
  </conditionalFormatting>
  <conditionalFormatting sqref="N2:N16">
    <cfRule type="expression" dxfId="6" priority="2">
      <formula>N2="Aman"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